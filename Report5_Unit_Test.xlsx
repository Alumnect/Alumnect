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Functions" sheetId="3" r:id="rId6"/>
    <sheet state="visible" name="Statistics" sheetId="4" r:id="rId7"/>
    <sheet state="visible" name="FE-01" sheetId="5" r:id="rId8"/>
    <sheet state="visible" name="FE-02" sheetId="6" r:id="rId9"/>
    <sheet state="visible" name="FE-03" sheetId="7" r:id="rId10"/>
    <sheet state="visible" name="FE-04" sheetId="8" r:id="rId11"/>
    <sheet state="visible" name="FE-05" sheetId="9" r:id="rId12"/>
    <sheet state="visible" name="FE-06" sheetId="10" r:id="rId13"/>
    <sheet state="visible" name="FE-07" sheetId="11" r:id="rId14"/>
    <sheet state="visible" name="FE-08" sheetId="12" r:id="rId15"/>
    <sheet state="visible" name="FE-09" sheetId="13" r:id="rId16"/>
    <sheet state="visible" name="FE-10" sheetId="14" r:id="rId17"/>
    <sheet state="visible" name="FE-11" sheetId="15" r:id="rId18"/>
    <sheet state="visible" name="FE-12" sheetId="16" r:id="rId19"/>
    <sheet state="visible" name="FE-13" sheetId="17" r:id="rId20"/>
    <sheet state="visible" name="FE-14" sheetId="18" r:id="rId21"/>
    <sheet state="visible" name="FE-15" sheetId="19" r:id="rId22"/>
    <sheet state="visible" name="FE-16" sheetId="20" r:id="rId23"/>
    <sheet state="visible" name="FE-17" sheetId="21" r:id="rId24"/>
    <sheet state="visible" name="FE-18" sheetId="22" r:id="rId25"/>
    <sheet state="visible" name="FE-19" sheetId="23" r:id="rId26"/>
    <sheet state="visible" name="FE-20" sheetId="24" r:id="rId27"/>
    <sheet state="visible" name="FE-21" sheetId="25" r:id="rId28"/>
    <sheet state="visible" name="FE-22" sheetId="26" r:id="rId29"/>
    <sheet state="visible" name="FE-23" sheetId="27" r:id="rId30"/>
    <sheet state="visible" name="FE-24" sheetId="28" r:id="rId31"/>
    <sheet state="visible" name="FE-25" sheetId="29" r:id="rId32"/>
    <sheet state="visible" name="FE-26" sheetId="30" r:id="rId33"/>
    <sheet state="visible" name="FE-27" sheetId="31" r:id="rId34"/>
    <sheet state="visible" name="FE-28" sheetId="32" r:id="rId35"/>
    <sheet state="visible" name="FE-29" sheetId="33" r:id="rId36"/>
    <sheet state="visible" name="FE-30" sheetId="34" r:id="rId37"/>
    <sheet state="visible" name="FE-31" sheetId="35" r:id="rId38"/>
    <sheet state="visible" name="FE-32" sheetId="36" r:id="rId39"/>
    <sheet state="visible" name="FE-33" sheetId="37" r:id="rId40"/>
    <sheet state="visible" name="FE-34" sheetId="38" r:id="rId41"/>
    <sheet state="visible" name="FE-35" sheetId="39" r:id="rId42"/>
    <sheet state="visible" name="FE-36" sheetId="40" r:id="rId43"/>
    <sheet state="visible" name="FE-37" sheetId="41" r:id="rId44"/>
    <sheet state="visible" name="FE-38" sheetId="42" r:id="rId45"/>
    <sheet state="visible" name="FE-39" sheetId="43" r:id="rId46"/>
    <sheet state="visible" name="FE-40" sheetId="44" r:id="rId47"/>
    <sheet state="visible" name="FE-41" sheetId="45" r:id="rId48"/>
    <sheet state="visible" name="FE-42" sheetId="46" r:id="rId49"/>
    <sheet state="visible" name="FE-43" sheetId="47" r:id="rId50"/>
    <sheet state="visible" name="FE-44" sheetId="48" r:id="rId51"/>
    <sheet state="visible" name="FE-45" sheetId="49" r:id="rId52"/>
    <sheet state="visible" name="FE-46" sheetId="50" r:id="rId53"/>
    <sheet state="visible" name="FE-47" sheetId="51" r:id="rId54"/>
    <sheet state="visible" name="FE-48" sheetId="52" r:id="rId55"/>
    <sheet state="visible" name="FE-49" sheetId="53" r:id="rId56"/>
    <sheet state="visible" name="FE-50" sheetId="54" r:id="rId57"/>
    <sheet state="visible" name="FE-51" sheetId="55" r:id="rId58"/>
    <sheet state="visible" name="FE-52" sheetId="56" r:id="rId59"/>
    <sheet state="visible" name="FE-53" sheetId="57" r:id="rId60"/>
    <sheet state="visible" name="FE-54" sheetId="58" r:id="rId61"/>
    <sheet state="visible" name="FE-55" sheetId="59" r:id="rId62"/>
    <sheet state="visible" name="FE-56" sheetId="60" r:id="rId63"/>
    <sheet state="visible" name="FE-57" sheetId="61" r:id="rId64"/>
    <sheet state="visible" name="FE-58" sheetId="62" r:id="rId65"/>
    <sheet state="visible" name="FE-59" sheetId="63" r:id="rId66"/>
    <sheet state="visible" name="FE-60" sheetId="64" r:id="rId67"/>
    <sheet state="visible" name="FE-61" sheetId="65" r:id="rId68"/>
    <sheet state="visible" name="FE-62" sheetId="66" r:id="rId69"/>
    <sheet state="visible" name="FE-63" sheetId="67" r:id="rId70"/>
    <sheet state="visible" name="FE-64" sheetId="68" r:id="rId71"/>
  </sheets>
  <definedNames/>
  <calcPr/>
  <extLst>
    <ext uri="GoogleSheetsCustomDataVersion2">
      <go:sheetsCustomData xmlns:go="http://customooxmlschemas.google.com/" r:id="rId72" roundtripDataChecksum="Z3by0hiu3+Nv/h7ieQh68a/MfSlgbOF4iryXjnJYnG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ID#AAACIz3Sk5o
Author    (2026-10-15 14:26:17)
*A: Add
  M: Modify
  D: Delete</t>
      </text>
    </comment>
  </commentList>
  <extLst>
    <ext uri="GoogleSheetsCustomDataVersion2">
      <go:sheetsCustomData xmlns:go="http://customooxmlschemas.google.com/" r:id="rId1" roundtripDataSignature="AMtx7mj8kENaI96QCNXK5mQwECFl/8Uyzw=="/>
    </ext>
  </extLst>
</comments>
</file>

<file path=xl/sharedStrings.xml><?xml version="1.0" encoding="utf-8"?>
<sst xmlns="http://schemas.openxmlformats.org/spreadsheetml/2006/main" count="11138" uniqueCount="3004">
  <si>
    <t>Guideline to make and understand Unit Test Case</t>
  </si>
  <si>
    <t>UNIT TEST REPORT</t>
  </si>
  <si>
    <t>1. Overview</t>
  </si>
  <si>
    <t xml:space="preserve"> - In the template, Unit test cases are based on functions. Each sheet presents test cases for one function.</t>
  </si>
  <si>
    <t>Function List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</si>
  <si>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</si>
  <si>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</si>
  <si>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>Project Name</t>
  </si>
  <si>
    <t>AlumNect - FPT University Alumni Network &amp; Career Platform</t>
  </si>
  <si>
    <t xml:space="preserve">     + Click on Function link to open the related Test cases of the function.  
     Note: You should create new Function sheet before creating the link</t>
  </si>
  <si>
    <t>UNIT TEST DOCUMENT</t>
  </si>
  <si>
    <t xml:space="preserve"> - Test Report: provive the overview results of Functions Unit test: Test coverage, Test successful coverage 
    (Summary, for normal/abnormal/boundary cases)</t>
  </si>
  <si>
    <t>Creator</t>
  </si>
  <si>
    <t xml:space="preserve">     Note:  Should check the formula of "Sub Total" if you add more functions</t>
  </si>
  <si>
    <t>AnNH</t>
  </si>
  <si>
    <t>Project Code</t>
  </si>
  <si>
    <t>ALUMNECT</t>
  </si>
  <si>
    <t>2. Content in Test function sheet</t>
  </si>
  <si>
    <t>Reviewer/Approver</t>
  </si>
  <si>
    <t>All Member</t>
  </si>
  <si>
    <t>2.1 Combination of test cases.</t>
  </si>
  <si>
    <t>Document Code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</si>
  <si>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</si>
  <si>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Normal number of Test cases/KLOC 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</si>
  <si>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</si>
  <si>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</si>
  <si>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N/A</t>
  </si>
  <si>
    <t xml:space="preserve"> 2.2 Condition and confirmation of Test cases.</t>
  </si>
  <si>
    <t>Issue Date</t>
  </si>
  <si>
    <t xml:space="preserve"> Each test case is the combination of condition and confirmation.</t>
  </si>
  <si>
    <t>a. Condition:</t>
  </si>
  <si>
    <t>Test Environment Setup Description</t>
  </si>
  <si>
    <t xml:space="preserve">        - Condition is combination of precondition and values of inputs.</t>
  </si>
  <si>
    <t>Notes</t>
  </si>
  <si>
    <t>The function is required to perform correctly based on SRS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</si>
  <si>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</si>
  <si>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</si>
  <si>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</si>
  <si>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>1. Language / build: Java 21 (compiled and run with JDK 22), Maven 3.9.9, Spring Boot 4.0.6
2. Test framework: JUnit 5 (Jupiter) + Mockito (spring-boot-starter-test), Hibernate Validator for DTO rules
3. Scope: back-end service layer (alumnect-backend); repositories, mailer, WebSocket and external services are mocked, so no database/server is required
4. Command: mvn test -Dtest="FE*"  (source: src/test/java/com/alumnect/alumnect_backend/unit)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</si>
  <si>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</si>
  <si>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</si>
  <si>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</si>
  <si>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</si>
  <si>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</si>
  <si>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</si>
  <si>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>No</t>
  </si>
  <si>
    <t>Version</t>
  </si>
  <si>
    <t xml:space="preserve">               . 5, 10 are boundary values.</t>
  </si>
  <si>
    <t>v1.5</t>
  </si>
  <si>
    <t>Function code</t>
  </si>
  <si>
    <t xml:space="preserve">               . -1, 11,... are abnormal values.   </t>
  </si>
  <si>
    <t>Passed</t>
  </si>
  <si>
    <t>Failed</t>
  </si>
  <si>
    <t>Untested</t>
  </si>
  <si>
    <t>N</t>
  </si>
  <si>
    <t>A</t>
  </si>
  <si>
    <t xml:space="preserve">b. Confirmation: </t>
  </si>
  <si>
    <t>B</t>
  </si>
  <si>
    <t>Total Test Cases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</si>
  <si>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</si>
  <si>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</si>
  <si>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</si>
  <si>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>Requirement
Name</t>
  </si>
  <si>
    <t xml:space="preserve">                + Output log messages in log file.</t>
  </si>
  <si>
    <t>FE-01_Register a New Account</t>
  </si>
  <si>
    <t>Record of change</t>
  </si>
  <si>
    <t>Class Name</t>
  </si>
  <si>
    <t xml:space="preserve">                + Output screen message...</t>
  </si>
  <si>
    <t>c. Type of test cases and result:</t>
  </si>
  <si>
    <t>Function Name</t>
  </si>
  <si>
    <t xml:space="preserve">        - Type of test case: It includes normal, boundary and abnormal test cases. User selects the type based on the type of input data.</t>
  </si>
  <si>
    <t xml:space="preserve"> Function Code(Optional)</t>
  </si>
  <si>
    <t>Effective Date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</si>
  <si>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</si>
  <si>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>Sheet Name</t>
  </si>
  <si>
    <t>Description</t>
  </si>
  <si>
    <t>Pre-Condition</t>
  </si>
  <si>
    <t xml:space="preserve"> 2.3. Other items:</t>
  </si>
  <si>
    <t>Change Item</t>
  </si>
  <si>
    <t>*A,D,M</t>
  </si>
  <si>
    <t>Change description</t>
  </si>
  <si>
    <t xml:space="preserve"> - Function Code: it is ID of the function and updated automatically according to FunctionList sheet.</t>
  </si>
  <si>
    <t>Reference</t>
  </si>
  <si>
    <t xml:space="preserve"> - Function Name: it is name  of the function and updated automatically according to FunctionList sheet.</t>
  </si>
  <si>
    <t>Register a New Account</t>
  </si>
  <si>
    <t xml:space="preserve"> - Created By: Name of creator.</t>
  </si>
  <si>
    <t>AuthServiceImpl</t>
  </si>
  <si>
    <t>register()</t>
  </si>
  <si>
    <t xml:space="preserve"> - Executed By: Name of person who executes the unit test</t>
  </si>
  <si>
    <t>FE-01</t>
  </si>
  <si>
    <t xml:space="preserve"> - Lines of code: Number of Code line of the function.</t>
  </si>
  <si>
    <t>v1.0</t>
  </si>
  <si>
    <t>FE-02_Sign In &amp; Logout (Email &amp; Password)</t>
  </si>
  <si>
    <t xml:space="preserve"> - Test requirement: Brief description about requirements which are tested in this function, it is not mandatory.</t>
  </si>
  <si>
    <t>All document</t>
  </si>
  <si>
    <t xml:space="preserve">         </t>
  </si>
  <si>
    <t>Create document and execute 600 unit test cases of 40 modules</t>
  </si>
  <si>
    <t>Report3_SRS, Report4_SDD, Report5_Test_Report</t>
  </si>
  <si>
    <t>v1.1</t>
  </si>
  <si>
    <t>Register a New Account (email OTP activation)</t>
  </si>
  <si>
    <t>Add modules</t>
  </si>
  <si>
    <t>verifyEmail()</t>
  </si>
  <si>
    <t>Add 319 unit test cases of 24 new modules (FE-41 to FE-64): Group Chat, Community Groups, Mentoring, Admin Mentoring &amp; Finance</t>
  </si>
  <si>
    <t>v1.2</t>
  </si>
  <si>
    <t>Executed By / Date</t>
  </si>
  <si>
    <t>M</t>
  </si>
  <si>
    <t>FE-03_Sign In with Google (OAuth)</t>
  </si>
  <si>
    <t>Assign Executed By (HuyLTN, MinhVB, AnNH, TrietNH, HieuPT) evenly for FE-01 to FE-64 and align Executed Date with Report5_Test_Report</t>
  </si>
  <si>
    <t>v1.3</t>
  </si>
  <si>
    <t>Group Chat &amp; Community Groups</t>
  </si>
  <si>
    <t>HuyLTN reviews unit test cases of FE-41 to FE-48 (validation limits, role checks, status rules)</t>
  </si>
  <si>
    <t>v1.4</t>
  </si>
  <si>
    <t>Mentoring</t>
  </si>
  <si>
    <t>TrietNH reviews unit test cases of FE-49 to FE-58 (registration, plans, requests, deals, payment, work logs, completion)</t>
  </si>
  <si>
    <t>Admin Mentoring &amp; Statistics</t>
  </si>
  <si>
    <t>HieuPT reviews FE-59 to FE-64 (tickets, disputes, ledgers, revenue); MinhVB verifies Functions list and Statistics</t>
  </si>
  <si>
    <t>Register a New Account (resend OTP)</t>
  </si>
  <si>
    <t>resendOtp()</t>
  </si>
  <si>
    <t>Sign In (Email &amp; Password)</t>
  </si>
  <si>
    <t>login()</t>
  </si>
  <si>
    <t>FE-02</t>
  </si>
  <si>
    <t>FE-04_Manage Password (Change / Forgot )</t>
  </si>
  <si>
    <t>Sign In (Refresh session)</t>
  </si>
  <si>
    <t>refresh()</t>
  </si>
  <si>
    <t>Logout</t>
  </si>
  <si>
    <t>logout()</t>
  </si>
  <si>
    <t>FE-05_View User Profile</t>
  </si>
  <si>
    <t>Logout (all devices)</t>
  </si>
  <si>
    <t>logoutAllDevices()</t>
  </si>
  <si>
    <t>Sign In with Google (OAuth 2.0)</t>
  </si>
  <si>
    <t>loginWithGoogle()</t>
  </si>
  <si>
    <t>FE-03</t>
  </si>
  <si>
    <t>FE-06_Edit Profile &amp; Manage Skills</t>
  </si>
  <si>
    <t>Sign In with Google (register new account)</t>
  </si>
  <si>
    <t>registerWithGoogle()</t>
  </si>
  <si>
    <t>Forgot Password (request OTP)</t>
  </si>
  <si>
    <t>forgotPassword()</t>
  </si>
  <si>
    <t>FE-04</t>
  </si>
  <si>
    <t>Forgot Password (verify OTP)</t>
  </si>
  <si>
    <t>verifyResetOtp()</t>
  </si>
  <si>
    <t>FE-07_Manage Career Timeline</t>
  </si>
  <si>
    <t>Forgot Password (reset password)</t>
  </si>
  <si>
    <t>resetPassword()</t>
  </si>
  <si>
    <t>Change Password</t>
  </si>
  <si>
    <t>UserServiceImpl</t>
  </si>
  <si>
    <t>changePassword()</t>
  </si>
  <si>
    <t>FE-08_Search Users &amp; Alumni Directory</t>
  </si>
  <si>
    <t>View Profile (own)</t>
  </si>
  <si>
    <t>getOwnProfile()</t>
  </si>
  <si>
    <t>FE-05</t>
  </si>
  <si>
    <t>View Profile (other user)</t>
  </si>
  <si>
    <t>getUserProfile()</t>
  </si>
  <si>
    <t>Edit Profile / Manage Skills &amp; Tags</t>
  </si>
  <si>
    <t>updateOwnProfile()</t>
  </si>
  <si>
    <t>FE-06</t>
  </si>
  <si>
    <t>FE-09_View Connection Suggestions</t>
  </si>
  <si>
    <t>Manage Career Timeline (list)</t>
  </si>
  <si>
    <t>ExperienceServiceImpl</t>
  </si>
  <si>
    <t>getOwnExperiences()</t>
  </si>
  <si>
    <t>FE-07</t>
  </si>
  <si>
    <t>Manage Career Timeline (add)</t>
  </si>
  <si>
    <t>createExperience()</t>
  </si>
  <si>
    <t>Manage Career Timeline (edit)</t>
  </si>
  <si>
    <t>updateExperience()</t>
  </si>
  <si>
    <t>FE-10_Manage Social Connections (Follow / Followers / Following)</t>
  </si>
  <si>
    <t>Manage Career Timeline (delete)</t>
  </si>
  <si>
    <t>deleteExperience()</t>
  </si>
  <si>
    <t>Manage Career Timeline (promotion)</t>
  </si>
  <si>
    <t>promoteExperience()</t>
  </si>
  <si>
    <t>Search Users</t>
  </si>
  <si>
    <t>searchUsers()</t>
  </si>
  <si>
    <t>FE-08</t>
  </si>
  <si>
    <t>FE-11_Admin Console Shell, Access Control &amp; Navigation</t>
  </si>
  <si>
    <t>Search Users (dynamic filter options)</t>
  </si>
  <si>
    <t>getFilterOptions()</t>
  </si>
  <si>
    <t>View Connection Suggestion</t>
  </si>
  <si>
    <t>getConnectionSuggestions()</t>
  </si>
  <si>
    <t>FE-09</t>
  </si>
  <si>
    <t>Follow / Unfollow a User (follow)</t>
  </si>
  <si>
    <t>FollowServiceImpl</t>
  </si>
  <si>
    <t>followUser()</t>
  </si>
  <si>
    <t>FE-10</t>
  </si>
  <si>
    <t>FE-12_Admin Overview Dashboard &amp; Operations</t>
  </si>
  <si>
    <t>Follow / Unfollow a User (unfollow)</t>
  </si>
  <si>
    <t>unfollowUser()</t>
  </si>
  <si>
    <t>View Followers / Following (followers)</t>
  </si>
  <si>
    <t>getFollowers()</t>
  </si>
  <si>
    <t>View Followers / Following (following)</t>
  </si>
  <si>
    <t>getFollowing()</t>
  </si>
  <si>
    <t>FE-13_User Account Management</t>
  </si>
  <si>
    <t>Admin Console Access Control (issue JWT)</t>
  </si>
  <si>
    <t>JwtService</t>
  </si>
  <si>
    <t>generateToken()</t>
  </si>
  <si>
    <t>FE-11</t>
  </si>
  <si>
    <t>Admin Console Access Control (refresh JWT)</t>
  </si>
  <si>
    <t>generateRefreshToken()</t>
  </si>
  <si>
    <t>Admin Console Access Control (validate JWT)</t>
  </si>
  <si>
    <t>validateToken()</t>
  </si>
  <si>
    <t>Admin Console Access Control (authenticate request)</t>
  </si>
  <si>
    <t>JwtFilter</t>
  </si>
  <si>
    <t>doFilterInternal()</t>
  </si>
  <si>
    <t>FE-14_View &amp; Filter Community Posts</t>
  </si>
  <si>
    <t>Admin Console Access Control (load authorities)</t>
  </si>
  <si>
    <t>UserDetailServiceImpl</t>
  </si>
  <si>
    <t>loadUserByUsername()</t>
  </si>
  <si>
    <t>Admin Dashboard (KPIs)</t>
  </si>
  <si>
    <t>AdminDashboardServiceImpl</t>
  </si>
  <si>
    <t>getDashboardSummary()</t>
  </si>
  <si>
    <t>FE-12</t>
  </si>
  <si>
    <t>User Management (list &amp; filter)</t>
  </si>
  <si>
    <t>AdminUserServiceImpl</t>
  </si>
  <si>
    <t>getUsers()</t>
  </si>
  <si>
    <t>FE-13</t>
  </si>
  <si>
    <t>FE-15_View Community Post Detail</t>
  </si>
  <si>
    <t>View User Detail</t>
  </si>
  <si>
    <t>getUserById()</t>
  </si>
  <si>
    <t>Lock / Unlock Account</t>
  </si>
  <si>
    <t>updateUserStatus()</t>
  </si>
  <si>
    <t>View All Feed Posts / Filter by Type</t>
  </si>
  <si>
    <t>AdminPostServiceImpl</t>
  </si>
  <si>
    <t>getPosts()</t>
  </si>
  <si>
    <t>FE-14</t>
  </si>
  <si>
    <t>FE-16_Hide / Unhide Violating Posts</t>
  </si>
  <si>
    <t>View Post Detail (Admin)</t>
  </si>
  <si>
    <t>getPostDetail()</t>
  </si>
  <si>
    <t>FE-15</t>
  </si>
  <si>
    <t>Hide Violating Feed Post</t>
  </si>
  <si>
    <t>togglePostHidden()</t>
  </si>
  <si>
    <t>FE-16</t>
  </si>
  <si>
    <t>Alumni Verification - list requests</t>
  </si>
  <si>
    <t>AdminVerificationServiceImpl</t>
  </si>
  <si>
    <t>getVerificationRequests()</t>
  </si>
  <si>
    <t>FE-17</t>
  </si>
  <si>
    <t>FE-17_Alumni Verification Management Queue</t>
  </si>
  <si>
    <t>Alumni Verification – Approve Alumni Account</t>
  </si>
  <si>
    <t>reviewVerificationRequest()</t>
  </si>
  <si>
    <t>View Reported Post List / Report Detail</t>
  </si>
  <si>
    <t>AdminReportServiceImpl</t>
  </si>
  <si>
    <t>getReports()</t>
  </si>
  <si>
    <t>FE-18</t>
  </si>
  <si>
    <t>Resolve Reported Post</t>
  </si>
  <si>
    <t>updateReportStatus()</t>
  </si>
  <si>
    <t>FE-18_Violation Reports &amp; Content Moderation Queue</t>
  </si>
  <si>
    <t>Broadcast Notifications (history &amp; filter)</t>
  </si>
  <si>
    <t>AdminNotificationServiceImpl</t>
  </si>
  <si>
    <t>getSystemNotifications()</t>
  </si>
  <si>
    <t>FE-19</t>
  </si>
  <si>
    <t>Send Broadcast Notification</t>
  </si>
  <si>
    <t>createSystemNotification()</t>
  </si>
  <si>
    <t>FE-19_Broadcast &amp; System Notifications Management</t>
  </si>
  <si>
    <t>Cancel scheduled notification</t>
  </si>
  <si>
    <t>cancelScheduledNotification()</t>
  </si>
  <si>
    <t>Archive notification</t>
  </si>
  <si>
    <t>archiveNotification()</t>
  </si>
  <si>
    <t>Dispatch scheduled notifications</t>
  </si>
  <si>
    <t>executeScheduledNotifications()</t>
  </si>
  <si>
    <t>FE-20_Create a Post on the Feed</t>
  </si>
  <si>
    <t>Expire overdue notifications</t>
  </si>
  <si>
    <t>expireOverdueNotifications()</t>
  </si>
  <si>
    <t>Publish Post</t>
  </si>
  <si>
    <t>PostServiceImpl</t>
  </si>
  <si>
    <t>createPost()</t>
  </si>
  <si>
    <t>FE-20</t>
  </si>
  <si>
    <t>View Feed</t>
  </si>
  <si>
    <t>getFeed()</t>
  </si>
  <si>
    <t>FE-21</t>
  </si>
  <si>
    <t>View Post Detail</t>
  </si>
  <si>
    <t>FE-21_View Feed &amp; Post Detail</t>
  </si>
  <si>
    <t>Edit Post</t>
  </si>
  <si>
    <t>editPost()</t>
  </si>
  <si>
    <t>FE-22</t>
  </si>
  <si>
    <t>Like Post (like)</t>
  </si>
  <si>
    <t>likePost()</t>
  </si>
  <si>
    <t>FE-23</t>
  </si>
  <si>
    <t>Like Post (unlike)</t>
  </si>
  <si>
    <t>unlikePost()</t>
  </si>
  <si>
    <t>FE-22_Edit a Post</t>
  </si>
  <si>
    <t>Report Violating Post</t>
  </si>
  <si>
    <t>ReportServiceImpl</t>
  </si>
  <si>
    <t>reportPost()</t>
  </si>
  <si>
    <t>Comment on a Post</t>
  </si>
  <si>
    <t>createComment()</t>
  </si>
  <si>
    <t>FE-24</t>
  </si>
  <si>
    <t>Comment on a Post (list)</t>
  </si>
  <si>
    <t>getPostComments()</t>
  </si>
  <si>
    <t>FE-23_Like &amp; Report a Post</t>
  </si>
  <si>
    <t>Edit Comment</t>
  </si>
  <si>
    <t>updateComment()</t>
  </si>
  <si>
    <t>Delete Comment</t>
  </si>
  <si>
    <t>deleteComment()</t>
  </si>
  <si>
    <t>Save Post</t>
  </si>
  <si>
    <t>savePost()</t>
  </si>
  <si>
    <t>FE-25</t>
  </si>
  <si>
    <t>FE-24_Comment on a Post</t>
  </si>
  <si>
    <t>Save Post (unsave)</t>
  </si>
  <si>
    <t>unsavePost()</t>
  </si>
  <si>
    <t>View Saved Posts</t>
  </si>
  <si>
    <t>getSavedPosts()</t>
  </si>
  <si>
    <t>Register to Attend an Event</t>
  </si>
  <si>
    <t>EventServiceImpl</t>
  </si>
  <si>
    <t>rsvpEvent()</t>
  </si>
  <si>
    <t>FE-26</t>
  </si>
  <si>
    <t>Cancel Event Attendance</t>
  </si>
  <si>
    <t>cancelRsvp()</t>
  </si>
  <si>
    <t>FE-25_Bookmark Posts (Save / View Saved)</t>
  </si>
  <si>
    <t>Register to Attend an Event (status)</t>
  </si>
  <si>
    <t>getRsvpStatus()</t>
  </si>
  <si>
    <t>View Event Attendee List</t>
  </si>
  <si>
    <t>getEventAttendees()</t>
  </si>
  <si>
    <t>Cancel Event</t>
  </si>
  <si>
    <t>cancelEvent()</t>
  </si>
  <si>
    <t>FE-27</t>
  </si>
  <si>
    <t>View Attended-Event History</t>
  </si>
  <si>
    <t>getEventHistory()</t>
  </si>
  <si>
    <t>FE-26_Event Attendance &amp; RSVP Management</t>
  </si>
  <si>
    <t>View Notifications</t>
  </si>
  <si>
    <t>NotificationServiceImpl</t>
  </si>
  <si>
    <t>getNotifications()</t>
  </si>
  <si>
    <t>FE-28</t>
  </si>
  <si>
    <t>View Notifications (unread counter)</t>
  </si>
  <si>
    <t>getUnreadCount()</t>
  </si>
  <si>
    <t>FE-27_Event Lifecycle &amp; Attendance History</t>
  </si>
  <si>
    <t>FE-28_Manage Notifications (View &amp; Manage Notifications)</t>
  </si>
  <si>
    <t>FE-29_View Conversation List (Inbox)</t>
  </si>
  <si>
    <t>Manage Notifications (mark as read)</t>
  </si>
  <si>
    <t>markAsRead()</t>
  </si>
  <si>
    <t>FE-30_Send a Direct Message &amp; Chat History</t>
  </si>
  <si>
    <t>Manage Notifications (mark all as read)</t>
  </si>
  <si>
    <t>markAllAsRead()</t>
  </si>
  <si>
    <t>Notify post author about a like</t>
  </si>
  <si>
    <t>sendLikeNotification()</t>
  </si>
  <si>
    <t>Notify post author about an unlike</t>
  </si>
  <si>
    <t>handleUnlikeNotification()</t>
  </si>
  <si>
    <t>FE-31_Alumni Map (View, Filter &amp; Profile Navigation)</t>
  </si>
  <si>
    <t>Notify post author about a comment</t>
  </si>
  <si>
    <t>sendCommentNotification()</t>
  </si>
  <si>
    <t>Notify user about a new follower</t>
  </si>
  <si>
    <t>sendFollowNotification()</t>
  </si>
  <si>
    <t>FE-32_Manage Career Path (View &amp; Explore Alumni Career Journey)</t>
  </si>
  <si>
    <t>Notify asker about a new answer</t>
  </si>
  <si>
    <t>sendAnswerNotification()</t>
  </si>
  <si>
    <t>Notify author about a removed post</t>
  </si>
  <si>
    <t>sendReportResolvedNotification()</t>
  </si>
  <si>
    <t>FE-33_Manage Posts (Share, Delete &amp; Search Posts)</t>
  </si>
  <si>
    <t>Welcome notification</t>
  </si>
  <si>
    <t>sendWelcomeNotification()</t>
  </si>
  <si>
    <t>Scheduled broadcast dispatching</t>
  </si>
  <si>
    <t>NotificationScheduler</t>
  </si>
  <si>
    <t>processScheduledAndExpiredNotifications()</t>
  </si>
  <si>
    <t>Direct Message (inbox)</t>
  </si>
  <si>
    <t>ChatServiceImpl</t>
  </si>
  <si>
    <t>getConversations()</t>
  </si>
  <si>
    <t>FE-29</t>
  </si>
  <si>
    <t>Direct Message (open conversation)</t>
  </si>
  <si>
    <t>getOrCreateDirectConversation()</t>
  </si>
  <si>
    <t>FE-34_Forum Q&amp;A - View, Search &amp; Filter Questions</t>
  </si>
  <si>
    <t>Manage Message Requests (accept)</t>
  </si>
  <si>
    <t>acceptConversation()</t>
  </si>
  <si>
    <t>Direct Message (delete conversation)</t>
  </si>
  <si>
    <t>deleteConversation()</t>
  </si>
  <si>
    <t>Search Users for Chat</t>
  </si>
  <si>
    <t>searchUsersForChat()</t>
  </si>
  <si>
    <t>FE-35_Forum Q&amp;A - Create &amp; Manage Questions</t>
  </si>
  <si>
    <t>Direct Message (history)</t>
  </si>
  <si>
    <t>getMessages()</t>
  </si>
  <si>
    <t>FE-30</t>
  </si>
  <si>
    <t>Direct Message (send)</t>
  </si>
  <si>
    <t>sendMessage()</t>
  </si>
  <si>
    <t>FE-36_Forum Q&amp;A - Answer &amp; Manage Answers</t>
  </si>
  <si>
    <t>Direct Message (mark as read)</t>
  </si>
  <si>
    <t>View Alumni Map / Filter Map / View Profile from Marker</t>
  </si>
  <si>
    <t>AlumniMapServiceImpl</t>
  </si>
  <si>
    <t>getAlumniMapLocations()</t>
  </si>
  <si>
    <t>FE-31</t>
  </si>
  <si>
    <t>FE-37_Forum Q&amp;A - Voting on Questions and Answers</t>
  </si>
  <si>
    <t>View Career Path / Search &amp; Filter Career Path</t>
  </si>
  <si>
    <t>CareerPathServiceImpl</t>
  </si>
  <si>
    <t>getCareerPaths()</t>
  </si>
  <si>
    <t>FE-32</t>
  </si>
  <si>
    <t>View Career Path (detail)</t>
  </si>
  <si>
    <t>getCareerPathDetail()</t>
  </si>
  <si>
    <t>Delete Post</t>
  </si>
  <si>
    <t>FE-38_Salary Board - Contribute &amp; View Recent Data</t>
  </si>
  <si>
    <t>deletePost()</t>
  </si>
  <si>
    <t>FE-33</t>
  </si>
  <si>
    <t>Search Post</t>
  </si>
  <si>
    <t>View posts of a user (profile)</t>
  </si>
  <si>
    <t>getUserPosts()</t>
  </si>
  <si>
    <t>FE-39_Salary Board - Edit &amp; Delete My Data</t>
  </si>
  <si>
    <t>View Question List / Search Questions / Filter Questions by Topic</t>
  </si>
  <si>
    <t>QuestionServiceImpl</t>
  </si>
  <si>
    <t>getQuestions()</t>
  </si>
  <si>
    <t>FE-34</t>
  </si>
  <si>
    <t>View Question Detail</t>
  </si>
  <si>
    <t>getQuestionDetail()</t>
  </si>
  <si>
    <t>Filter Questions by Topic (topic list)</t>
  </si>
  <si>
    <t>getTopics()</t>
  </si>
  <si>
    <t>Ask Question</t>
  </si>
  <si>
    <t>createQuestion()</t>
  </si>
  <si>
    <t>FE-40_Salary Board - Statistics &amp; Filter</t>
  </si>
  <si>
    <t>FE-35</t>
  </si>
  <si>
    <t>Edit a Question</t>
  </si>
  <si>
    <t>updateQuestion()</t>
  </si>
  <si>
    <t>Delete Question</t>
  </si>
  <si>
    <t>deleteQuestion()</t>
  </si>
  <si>
    <t>View Question Detail (answers)</t>
  </si>
  <si>
    <t>AnswerServiceImpl</t>
  </si>
  <si>
    <t>getAnswers()</t>
  </si>
  <si>
    <t>FE-36</t>
  </si>
  <si>
    <t>FE-41_Group Chat - Create &amp; Update Group Profile</t>
  </si>
  <si>
    <t>Answer Question</t>
  </si>
  <si>
    <t>createAnswer()</t>
  </si>
  <si>
    <t>Edit Answer</t>
  </si>
  <si>
    <t>updateAnswer()</t>
  </si>
  <si>
    <t>Delete Answer</t>
  </si>
  <si>
    <t>deleteAnswer()</t>
  </si>
  <si>
    <t>FE-42_Group Chat - Manage Group Members</t>
  </si>
  <si>
    <t>Vote Question (vote)</t>
  </si>
  <si>
    <t>voteQuestion()</t>
  </si>
  <si>
    <t>FE-37</t>
  </si>
  <si>
    <t>Vote Question (un-vote)</t>
  </si>
  <si>
    <t>unvoteQuestion()</t>
  </si>
  <si>
    <t>Vote Answer (vote)</t>
  </si>
  <si>
    <t>voteAnswer()</t>
  </si>
  <si>
    <t>FE-43_Community Groups - View, Search &amp; Group Detail</t>
  </si>
  <si>
    <t>Vote Answer (un-vote)</t>
  </si>
  <si>
    <t>unvoteAnswer()</t>
  </si>
  <si>
    <t>Contribute Salary Data</t>
  </si>
  <si>
    <t>SalaryServiceImpl</t>
  </si>
  <si>
    <t>createContribution()</t>
  </si>
  <si>
    <t>FE-38</t>
  </si>
  <si>
    <t>Contribute Salary Data (my contributions)</t>
  </si>
  <si>
    <t>getMyContributions()</t>
  </si>
  <si>
    <t>FE-44_Community Groups - Create, Update, Close/Reopen &amp; Delete</t>
  </si>
  <si>
    <t>Edit Salary Contribution</t>
  </si>
  <si>
    <t>updateContribution()</t>
  </si>
  <si>
    <t>FE-39</t>
  </si>
  <si>
    <t>Delete Salary Contribution</t>
  </si>
  <si>
    <t>deleteContribution()</t>
  </si>
  <si>
    <t>View Salary Statistics / Filter Salary Data</t>
  </si>
  <si>
    <t>getStatistics()</t>
  </si>
  <si>
    <t>FE-40</t>
  </si>
  <si>
    <t>View Salary Statistics (recent contributions feed)</t>
  </si>
  <si>
    <t>FE-45_Community Groups - Join, Leave &amp; Handle Join Requests</t>
  </si>
  <si>
    <t>Group Chat (create group)</t>
  </si>
  <si>
    <t>createGroupConversation()</t>
  </si>
  <si>
    <t>FE-41</t>
  </si>
  <si>
    <t>Group Chat (update group profile)</t>
  </si>
  <si>
    <t>updateGroup()</t>
  </si>
  <si>
    <t>Group Chat (add members)</t>
  </si>
  <si>
    <t>addMembers()</t>
  </si>
  <si>
    <t>FE-42</t>
  </si>
  <si>
    <t>FE-46_Community Groups - Members &amp; Roles</t>
  </si>
  <si>
    <t>Group Chat (remove / leave member)</t>
  </si>
  <si>
    <t>removeMember()</t>
  </si>
  <si>
    <t>Group Chat (list members)</t>
  </si>
  <si>
    <t>getGroupMembers()</t>
  </si>
  <si>
    <t>Group Chat (dissolve group)</t>
  </si>
  <si>
    <t>Community Groups (list &amp; search)</t>
  </si>
  <si>
    <t>GroupServiceImpl</t>
  </si>
  <si>
    <t>listGroups()</t>
  </si>
  <si>
    <t>FE-43</t>
  </si>
  <si>
    <t>FE-47_Community Groups - Manage Group Posts</t>
  </si>
  <si>
    <t>Community Groups (my groups)</t>
  </si>
  <si>
    <t>getMyGroups()</t>
  </si>
  <si>
    <t>Community Groups (group detail)</t>
  </si>
  <si>
    <t>getGroupDetail()</t>
  </si>
  <si>
    <t>Community Groups (create)</t>
  </si>
  <si>
    <t>createGroup()</t>
  </si>
  <si>
    <t>FE-44</t>
  </si>
  <si>
    <t>Community Groups (update)</t>
  </si>
  <si>
    <t>FE-48_Community Groups - Like &amp; Comment on Group Posts</t>
  </si>
  <si>
    <t>Community Groups (close / reopen)</t>
  </si>
  <si>
    <t>updateGroupStatus()</t>
  </si>
  <si>
    <t>Community Groups (delete)</t>
  </si>
  <si>
    <t>deleteGroup()</t>
  </si>
  <si>
    <t>Community Groups (join)</t>
  </si>
  <si>
    <t>joinGroup()</t>
  </si>
  <si>
    <t>FE-45</t>
  </si>
  <si>
    <t>Community Groups (leave)</t>
  </si>
  <si>
    <t>leaveGroup()</t>
  </si>
  <si>
    <t>FE-49_Mentoring - Terms &amp; Mentor Registration</t>
  </si>
  <si>
    <t>Community Groups (join requests)</t>
  </si>
  <si>
    <t>getJoinRequests()</t>
  </si>
  <si>
    <t>Community Groups (handle join request)</t>
  </si>
  <si>
    <t>handleJoinRequest()</t>
  </si>
  <si>
    <t>FE-50_Mentoring - Mentor Plan Selection &amp; Payment</t>
  </si>
  <si>
    <t>Community Groups (members)</t>
  </si>
  <si>
    <t>getMembers()</t>
  </si>
  <si>
    <t>FE-46</t>
  </si>
  <si>
    <t>Community Groups (remove member)</t>
  </si>
  <si>
    <t>Community Groups (change role)</t>
  </si>
  <si>
    <t>changeMemberRole()</t>
  </si>
  <si>
    <t>FE-51_Mentoring - Mentor &amp; Subscription Status</t>
  </si>
  <si>
    <t>Group Posts (list)</t>
  </si>
  <si>
    <t>GroupPostServiceImpl</t>
  </si>
  <si>
    <t>listPosts()</t>
  </si>
  <si>
    <t>FE-47</t>
  </si>
  <si>
    <t>Group Posts (detail)</t>
  </si>
  <si>
    <t>FE-52_Mentoring - Mentor Ranking, Search &amp; Detail</t>
  </si>
  <si>
    <t>Group Posts (create)</t>
  </si>
  <si>
    <t>Group Posts (edit)</t>
  </si>
  <si>
    <t>updatePost()</t>
  </si>
  <si>
    <t>FE-53_Mentoring - Create Mentoring Request &amp; Direct Request</t>
  </si>
  <si>
    <t>Group Posts (delete)</t>
  </si>
  <si>
    <t>Group Posts (pin)</t>
  </si>
  <si>
    <t>togglePin()</t>
  </si>
  <si>
    <t>Group Posts (like)</t>
  </si>
  <si>
    <t>FE-54_Mentoring - View Responses &amp; Respond to Requests</t>
  </si>
  <si>
    <t>toggleLike()</t>
  </si>
  <si>
    <t>FE-48</t>
  </si>
  <si>
    <t>Group Posts (list comments)</t>
  </si>
  <si>
    <t>listComments()</t>
  </si>
  <si>
    <t>Group Posts (create comment)</t>
  </si>
  <si>
    <t>FE-55_Mentoring - Negotiate &amp; Confirm a Mentoring Deal</t>
  </si>
  <si>
    <t>Group Posts (edit comment)</t>
  </si>
  <si>
    <t>Group Posts (delete comment)</t>
  </si>
  <si>
    <t>FE-56_Mentoring - Pay for a Mentoring Task</t>
  </si>
  <si>
    <t>Mentoring Terms (status)</t>
  </si>
  <si>
    <t>MentoringTermsServiceImpl</t>
  </si>
  <si>
    <t>getCurrentTermsStatus()</t>
  </si>
  <si>
    <t>FE-49</t>
  </si>
  <si>
    <t>Mentoring Terms (accept)</t>
  </si>
  <si>
    <t>acceptCurrentTerms()</t>
  </si>
  <si>
    <t>Mentor Registration (view)</t>
  </si>
  <si>
    <t>MentorRegistrationServiceImpl</t>
  </si>
  <si>
    <t>getRegistration()</t>
  </si>
  <si>
    <t>FE-57_Mentoring - Manage Tasks &amp; Work Logs</t>
  </si>
  <si>
    <t>Mentor Registration (save)</t>
  </si>
  <si>
    <t>saveRegistration()</t>
  </si>
  <si>
    <t>Mentor Plans (list)</t>
  </si>
  <si>
    <t>MentorSubscriptionServiceImpl</t>
  </si>
  <si>
    <t>getActivePackages()</t>
  </si>
  <si>
    <t>FE-50</t>
  </si>
  <si>
    <t>FE-58_Mentoring - Task Extension, Amendment &amp; Completion</t>
  </si>
  <si>
    <t>Mentor Plans (select)</t>
  </si>
  <si>
    <t>selectPackage()</t>
  </si>
  <si>
    <t>Mentor Plans (my subscription)</t>
  </si>
  <si>
    <t>getMySubscription()</t>
  </si>
  <si>
    <t>FE-59_Mentoring - Settlement Ticket &amp; Dispute Ticket</t>
  </si>
  <si>
    <t>Mentor Status</t>
  </si>
  <si>
    <t>MentorStatusServiceImpl</t>
  </si>
  <si>
    <t>getMentorStatus()</t>
  </si>
  <si>
    <t>FE-51</t>
  </si>
  <si>
    <t>Mentor Ranking</t>
  </si>
  <si>
    <t>MentorRankingServiceImpl</t>
  </si>
  <si>
    <t>getMentorRanking()</t>
  </si>
  <si>
    <t>FE-52</t>
  </si>
  <si>
    <t>FE-60_Mentoring - Task Result, Payment Report &amp; Reviews</t>
  </si>
  <si>
    <t>Mentor Search</t>
  </si>
  <si>
    <t>MentorSearchServiceImpl</t>
  </si>
  <si>
    <t>searchMentors()</t>
  </si>
  <si>
    <t>Mentor Detail</t>
  </si>
  <si>
    <t>MentorDetailServiceImpl</t>
  </si>
  <si>
    <t>getMentorDetail()</t>
  </si>
  <si>
    <t>Mentoring Request (create)</t>
  </si>
  <si>
    <t>MentoringRequestServiceImpl</t>
  </si>
  <si>
    <t>createMentoringRequest()</t>
  </si>
  <si>
    <t>FE-53</t>
  </si>
  <si>
    <t>FE-61_Mentoring - Group Mentorship</t>
  </si>
  <si>
    <t>Mentoring Request (my requests)</t>
  </si>
  <si>
    <t>getMyRequests()</t>
  </si>
  <si>
    <t>Mentoring Request (detail)</t>
  </si>
  <si>
    <t>getRequestDetail()</t>
  </si>
  <si>
    <t>Mentoring Request (responses)</t>
  </si>
  <si>
    <t>getRequestDetailWithResponses()</t>
  </si>
  <si>
    <t>FE-54</t>
  </si>
  <si>
    <t>FE-62_Admin Mentoring - Dispute Ticket Queue, Evidence &amp; Discussion</t>
  </si>
  <si>
    <t>Mentoring Request (incoming list)</t>
  </si>
  <si>
    <t>getIncomingRequests()</t>
  </si>
  <si>
    <t>Mentoring Request (incoming detail)</t>
  </si>
  <si>
    <t>getIncomingRequestDetail()</t>
  </si>
  <si>
    <t>Mentoring Request (accept)</t>
  </si>
  <si>
    <t>acceptIncomingRequest()</t>
  </si>
  <si>
    <t>FE-63_Admin Mentoring - Resolve Ticket &amp; Financial Ledgers</t>
  </si>
  <si>
    <t>Mentoring Request (decline)</t>
  </si>
  <si>
    <t>declineIncomingRequest()</t>
  </si>
  <si>
    <t>Mentoring Deal (propose)</t>
  </si>
  <si>
    <t>MentoringDealServiceImpl</t>
  </si>
  <si>
    <t>proposeDeal()</t>
  </si>
  <si>
    <t>FE-55</t>
  </si>
  <si>
    <t>Mentoring Deal (new version)</t>
  </si>
  <si>
    <t>updateDealTerms()</t>
  </si>
  <si>
    <t>FE-64_Admin Mentoring - Mentors, CV, Plans &amp; Revenue</t>
  </si>
  <si>
    <t>Mentoring Deal (confirm)</t>
  </si>
  <si>
    <t>confirmDeal()</t>
  </si>
  <si>
    <t>Mentoring Deal (reject / adjust / cancel)</t>
  </si>
  <si>
    <t>rejectDeal()</t>
  </si>
  <si>
    <t>Mentoring Deal (view)</t>
  </si>
  <si>
    <t>getDealDetail()</t>
  </si>
  <si>
    <t>Task Payment (create)</t>
  </si>
  <si>
    <t>MentoringTaskPaymentServiceImpl</t>
  </si>
  <si>
    <t>createTaskPayment()</t>
  </si>
  <si>
    <t>FE-56</t>
  </si>
  <si>
    <t>Task Payment (status)</t>
  </si>
  <si>
    <t>checkTaskPaymentStatus()</t>
  </si>
  <si>
    <t>Task Payment (cancel)</t>
  </si>
  <si>
    <t>cancelTaskPayment()</t>
  </si>
  <si>
    <t>Sub total</t>
  </si>
  <si>
    <t>Task Payment (webhook)</t>
  </si>
  <si>
    <t>handleVerifiedWebhook()</t>
  </si>
  <si>
    <t>Mentoring Task (my tasks)</t>
  </si>
  <si>
    <t>MentoringTaskServiceImpl</t>
  </si>
  <si>
    <t>getMyTasks()</t>
  </si>
  <si>
    <t>FE-57</t>
  </si>
  <si>
    <t>Mentoring Task (detail)</t>
  </si>
  <si>
    <t>getTaskDetail()</t>
  </si>
  <si>
    <t>Work Log (create)</t>
  </si>
  <si>
    <t>MentoringWorkLogServiceImpl</t>
  </si>
  <si>
    <t>createWorkLog()</t>
  </si>
  <si>
    <t>Test coverage</t>
  </si>
  <si>
    <t>Work Log (update)</t>
  </si>
  <si>
    <t>updateWorkLog()</t>
  </si>
  <si>
    <t>Work Log (confirm)</t>
  </si>
  <si>
    <t>confirmWorkLog()</t>
  </si>
  <si>
    <t>Test successful coverage</t>
  </si>
  <si>
    <t>Work Log (request change)</t>
  </si>
  <si>
    <t>rejectWorkLog()</t>
  </si>
  <si>
    <t>Normal case</t>
  </si>
  <si>
    <t>Task Extension (create)</t>
  </si>
  <si>
    <t>MentoringTaskResolutionServiceImpl</t>
  </si>
  <si>
    <t>createDeadlineExtension()</t>
  </si>
  <si>
    <t>FE-58</t>
  </si>
  <si>
    <t>Abnormal case</t>
  </si>
  <si>
    <t>Task Extension (respond)</t>
  </si>
  <si>
    <t>respondDeadlineExtension()</t>
  </si>
  <si>
    <t>Boundary case</t>
  </si>
  <si>
    <t>Task Amendment (create)</t>
  </si>
  <si>
    <t>createTaskAmendment()</t>
  </si>
  <si>
    <t>Task Amendment (respond)</t>
  </si>
  <si>
    <t>respondTaskAmendment()</t>
  </si>
  <si>
    <t>Stop Task Proposal (create)</t>
  </si>
  <si>
    <t>createSettlementProposal()</t>
  </si>
  <si>
    <t>Task Completion (submit)</t>
  </si>
  <si>
    <t>MentoringTaskCompletionServiceImpl</t>
  </si>
  <si>
    <t>submitCompletion()</t>
  </si>
  <si>
    <t>Task Completion (respond)</t>
  </si>
  <si>
    <t>respondCompletion()</t>
  </si>
  <si>
    <t>Settlement Ticket (snapshot)</t>
  </si>
  <si>
    <t>MentoringTicketServiceImpl</t>
  </si>
  <si>
    <t>getSettlementSnapshot()</t>
  </si>
  <si>
    <t>FE-59</t>
  </si>
  <si>
    <t>Settlement Ticket (submit)</t>
  </si>
  <si>
    <t>submitSettlementTicket()</t>
  </si>
  <si>
    <t>Dispute Ticket (create)</t>
  </si>
  <si>
    <t>createDisputeTicket()</t>
  </si>
  <si>
    <t>Dispute Evidence (list)</t>
  </si>
  <si>
    <t>getTicketEvidences()</t>
  </si>
  <si>
    <t>Dispute Evidence (add)</t>
  </si>
  <si>
    <t>addTicketEvidence()</t>
  </si>
  <si>
    <t>Task Report</t>
  </si>
  <si>
    <t>getTaskReport()</t>
  </si>
  <si>
    <t>FE-60</t>
  </si>
  <si>
    <t>Mentor Review</t>
  </si>
  <si>
    <t>MentorReputationServiceImpl</t>
  </si>
  <si>
    <t>submitMentorReview()</t>
  </si>
  <si>
    <t>Mentor Reputation (penalty)</t>
  </si>
  <si>
    <t>applyPenalty()</t>
  </si>
  <si>
    <t>Mentor Reputation (completed)</t>
  </si>
  <si>
    <t>recordTaskCompleted()</t>
  </si>
  <si>
    <t>Mentoring Group (create)</t>
  </si>
  <si>
    <t>MentoringGroupServiceImpl</t>
  </si>
  <si>
    <t>FE-61</t>
  </si>
  <si>
    <t>Mentoring Group (update)</t>
  </si>
  <si>
    <t>Mentoring Group (invite)</t>
  </si>
  <si>
    <t>invite()</t>
  </si>
  <si>
    <t>Mentoring Group (respond invitation)</t>
  </si>
  <si>
    <t>acceptInvitation()</t>
  </si>
  <si>
    <t>Mentoring Group (cancel invitation)</t>
  </si>
  <si>
    <t>cancelInvitation()</t>
  </si>
  <si>
    <t>Mentoring Group (remove / leave)</t>
  </si>
  <si>
    <t>Mentoring Group (dissolve)</t>
  </si>
  <si>
    <t>Admin Tickets (list)</t>
  </si>
  <si>
    <t>getAdminTickets()</t>
  </si>
  <si>
    <t>FE-62</t>
  </si>
  <si>
    <t>Admin Tickets (detail)</t>
  </si>
  <si>
    <t>getAdminTicketDetail()</t>
  </si>
  <si>
    <t>Admin Tickets (accept)</t>
  </si>
  <si>
    <t>acceptTicket()</t>
  </si>
  <si>
    <t>Admin Tickets (dispute context)</t>
  </si>
  <si>
    <t>getAdminDisputeContext()</t>
  </si>
  <si>
    <t>Ticket Discussion (list)</t>
  </si>
  <si>
    <t>getTicketMessages()</t>
  </si>
  <si>
    <t>Ticket Discussion (send)</t>
  </si>
  <si>
    <t>sendTicketMessage()</t>
  </si>
  <si>
    <t>Admin Resolve Ticket</t>
  </si>
  <si>
    <t>resolveTicket()</t>
  </si>
  <si>
    <t>FE-63</t>
  </si>
  <si>
    <t>Task Funds (list)</t>
  </si>
  <si>
    <t>MentoringFinanceServiceImpl</t>
  </si>
  <si>
    <t>getTaskFunds()</t>
  </si>
  <si>
    <t>Task Funds (detail)</t>
  </si>
  <si>
    <t>getTaskFundDetail()</t>
  </si>
  <si>
    <t>Admin Mentor List</t>
  </si>
  <si>
    <t>AdminMentorCvServiceImpl</t>
  </si>
  <si>
    <t>getMentorList()</t>
  </si>
  <si>
    <t>FE-64</t>
  </si>
  <si>
    <t>Admin Mentor CV</t>
  </si>
  <si>
    <t>getMentorCv()</t>
  </si>
  <si>
    <t>Admin Mentor Plans (list)</t>
  </si>
  <si>
    <t>AdminMentorPackageServiceImpl</t>
  </si>
  <si>
    <t>getAllPackages()</t>
  </si>
  <si>
    <t>Admin Mentor Plans (update)</t>
  </si>
  <si>
    <t>updatePackage()</t>
  </si>
  <si>
    <t>Admin Revenue Overview</t>
  </si>
  <si>
    <t>AdminRevenueServiceImpl</t>
  </si>
  <si>
    <t>getOverview()</t>
  </si>
  <si>
    <t>Function Code</t>
  </si>
  <si>
    <t>Created By</t>
  </si>
  <si>
    <t>Executed By</t>
  </si>
  <si>
    <t>HuyLTN</t>
  </si>
  <si>
    <t>Lines  of code</t>
  </si>
  <si>
    <t>Lack of test cases</t>
  </si>
  <si>
    <t>Test requirement</t>
  </si>
  <si>
    <t>Register account with email OTP activation and OTP resend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</si>
  <si>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</si>
  <si>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</si>
  <si>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</si>
  <si>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</si>
  <si>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</si>
  <si>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</si>
  <si>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</si>
  <si>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</si>
  <si>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</si>
  <si>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</si>
  <si>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</si>
  <si>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</si>
  <si>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</si>
  <si>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</si>
  <si>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</si>
  <si>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</si>
  <si>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</si>
  <si>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</si>
  <si>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</si>
  <si>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</si>
  <si>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</si>
  <si>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</si>
  <si>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UTCID22</t>
  </si>
  <si>
    <t>UTCID23</t>
  </si>
  <si>
    <t>Condition</t>
  </si>
  <si>
    <t>Precondition</t>
  </si>
  <si>
    <t>Email is not registered</t>
  </si>
  <si>
    <t>O</t>
  </si>
  <si>
    <t>Student code is not used</t>
  </si>
  <si>
    <t>Role STUDENT and major id 1 exist</t>
  </si>
  <si>
    <t>Role ALUMNI, proofUrl is provided</t>
  </si>
  <si>
    <t>Email already belongs to an ACTIVE account</t>
  </si>
  <si>
    <t>Email belongs to an account in WAITING_APPROVAL status</t>
  </si>
  <si>
    <t>Student code is already used by another profile</t>
  </si>
  <si>
    <t>Role ALUMNI but proofUrl is blank</t>
  </si>
  <si>
    <t>Major id 99 does not exist</t>
  </si>
  <si>
    <t>Account exists with status PENDING (registered but email not verified yet)</t>
  </si>
  <si>
    <t>Validator is applied to RegisterRequest</t>
  </si>
  <si>
    <t>Account PENDING with role STUDENT</t>
  </si>
  <si>
    <t>Latest EMAIL_VERIFICATION OTP is unused, not expired</t>
  </si>
  <si>
    <t>MinhVB</t>
  </si>
  <si>
    <t>Account PENDING with role ALUMNI</t>
  </si>
  <si>
    <t>Latest OTP is valid</t>
  </si>
  <si>
    <t>Latest OTP is valid, failedAttempts = 0</t>
  </si>
  <si>
    <t>Latest OTP has failedAttempts = 4 (one attempt left)</t>
  </si>
  <si>
    <t>Latest OTP already has failedAttempts = 5 (locked)</t>
  </si>
  <si>
    <t>Latest OTP expired 1 minute ago</t>
  </si>
  <si>
    <t>No account exists for the email</t>
  </si>
  <si>
    <t>Email/password sign in, token refresh and logout</t>
  </si>
  <si>
    <t>Account not yet email-verified</t>
  </si>
  <si>
    <t>Last OTP was created just now (&lt; 5 minutes ago)</t>
  </si>
  <si>
    <t>Last OTP was created 6 minutes ago (cool-down of 5 minutes elapsed)</t>
  </si>
  <si>
    <t>Account email is already verified</t>
  </si>
  <si>
    <t>Input</t>
  </si>
  <si>
    <t>RegisterRequest(role=STUDENT, password=Passw0rd1, email with spaces/upper-case)</t>
  </si>
  <si>
    <t>RegisterRequest(role=ALUMNI, proofUrl=https://cdn/proof.png)</t>
  </si>
  <si>
    <t>RegisterRequest(email of the ACTIVE account)</t>
  </si>
  <si>
    <t>RegisterRequest(email of the WAITING_APPROVAL account)</t>
  </si>
  <si>
    <t>RegisterRequest(studentCode=DE180001)</t>
  </si>
  <si>
    <t>RegisterRequest(role=ADMIN)</t>
  </si>
  <si>
    <t>RegisterRequest(role=ALUMNI, proofUrl="")</t>
  </si>
  <si>
    <t>RegisterRequest(majorId=99)</t>
  </si>
  <si>
    <t>RegisterRequest re-submitted for the same email</t>
  </si>
  <si>
    <t>password length = 8 (lower bound, letters+digits)</t>
  </si>
  <si>
    <t>password length = 7 (below lower bound)</t>
  </si>
  <si>
    <t>password length = 101 (above upper bound)</t>
  </si>
  <si>
    <t>ACTIVE account with verified email</t>
  </si>
  <si>
    <t>password = "abcdefgh" (letters only, no digit)</t>
  </si>
  <si>
    <t>Password matches the stored BCrypt hash</t>
  </si>
  <si>
    <t>email, correct 6-digit OTP</t>
  </si>
  <si>
    <t>email, wrong OTP</t>
  </si>
  <si>
    <t>ACTIVE account exists</t>
  </si>
  <si>
    <t>email, wrong OTP (5th wrong attempt)</t>
  </si>
  <si>
    <t>Password does not match the stored hash</t>
  </si>
  <si>
    <t>email, correct OTP</t>
  </si>
  <si>
    <t>Account status is LOCKED</t>
  </si>
  <si>
    <t>unknown email, OTP 123456</t>
  </si>
  <si>
    <t>Password is correct</t>
  </si>
  <si>
    <t>email</t>
  </si>
  <si>
    <t>Account status is WAITING_APPROVAL (alumni awaiting admin)</t>
  </si>
  <si>
    <t>Email verified, password correct</t>
  </si>
  <si>
    <t>Account exists but emailVerified = false</t>
  </si>
  <si>
    <t>Password correct</t>
  </si>
  <si>
    <t>Account was created through Google (passwordHash is null)</t>
  </si>
  <si>
    <t>Refresh token JWT is well-formed</t>
  </si>
  <si>
    <t>Stored hash exists, not revoked, not expired</t>
  </si>
  <si>
    <t>Account is ACTIVE</t>
  </si>
  <si>
    <t>Confirm</t>
  </si>
  <si>
    <t>Refresh token JWT cannot be parsed (tampered/expired signature)</t>
  </si>
  <si>
    <t>Return</t>
  </si>
  <si>
    <t>Refresh token was already revoked (replay attack)</t>
  </si>
  <si>
    <t>Stored refresh token expired 1 minute ago</t>
  </si>
  <si>
    <t>Refresh token hash exists in database</t>
  </si>
  <si>
    <t>Refresh token hash does not exist in database</t>
  </si>
  <si>
    <t>Void; User saved as PENDING with email trimmed + lower-cased and password BCrypt-hashed</t>
  </si>
  <si>
    <t>Account exists for the email</t>
  </si>
  <si>
    <t>UserProfile + default UserSettings saved</t>
  </si>
  <si>
    <t>LoginRequest(email, password), userAgent, ipAddress</t>
  </si>
  <si>
    <t>Void; VerificationRequest (alumni proof) saved for the new user</t>
  </si>
  <si>
    <t>LoginRequest(unknown email, any password)</t>
  </si>
  <si>
    <t>Void; existing account is reused (no new UserSettings), a new OTP is issued</t>
  </si>
  <si>
    <t>LoginRequest(email, wrong password)</t>
  </si>
  <si>
    <t>No constraint violation</t>
  </si>
  <si>
    <t>LoginRequest(email, password)</t>
  </si>
  <si>
    <t>Returns "STUDENT"; account becomes ACTIVE, emailVerified = true, accountVerified = true</t>
  </si>
  <si>
    <t>RefreshRequest(refreshToken), userAgent, ipAddress</t>
  </si>
  <si>
    <t>Returns "ALUMNI"; account becomes WAITING_APPROVAL, accountVerified = false</t>
  </si>
  <si>
    <t>RefreshRequest(refreshToken=garbage)</t>
  </si>
  <si>
    <t>Void; old OTPs invalidated, new OTP saved</t>
  </si>
  <si>
    <t>RefreshRequest(revoked refresh token)</t>
  </si>
  <si>
    <t>Exception</t>
  </si>
  <si>
    <t>RefreshRequest(expired refresh token)</t>
  </si>
  <si>
    <t>ConflictException: Email này đã được đăng ký và kích hoạt thành công. Vui lòng đăng nhập.</t>
  </si>
  <si>
    <t>LogoutRequest(refreshToken)</t>
  </si>
  <si>
    <t>LogoutRequest(unknown refreshToken)</t>
  </si>
  <si>
    <t>ConflictException: Tài khoản của bạn đã xác thực email thành công và đang chờ quản trị viên phê duyệt...</t>
  </si>
  <si>
    <t>ConflictException: Mã số sinh viên này đã được đăng ký trong hệ thống.</t>
  </si>
  <si>
    <t>BadRequestException: Vai trò không hợp lệ để đăng ký: ADMIN</t>
  </si>
  <si>
    <t>BadRequestException: Ảnh minh chứng là bắt buộc khi đăng ký với vai trò Cựu sinh viên</t>
  </si>
  <si>
    <t>ResourceNotFoundException: Chuyên ngành không tồn tại với ID: 99</t>
  </si>
  <si>
    <t>ConstraintViolation: Mật khẩu phải có độ dài từ 8 đến 100 ký tự</t>
  </si>
  <si>
    <t>LoginResponse with accessToken, refreshToken, id, email, role, fullName, accountStatus=ACTIVE</t>
  </si>
  <si>
    <t>ConstraintViolation: Mật khẩu phải chứa ít nhất 1 chữ cái và 1 chữ số</t>
  </si>
  <si>
    <t>Refresh token (SHA-256 hashed) saved with 7-day expiry</t>
  </si>
  <si>
    <t>BadRequestException: Mã xác thực không chính xác. Bạn còn 4 lần thử.</t>
  </si>
  <si>
    <t>New LoginResponse (new access + refresh token)</t>
  </si>
  <si>
    <t>BadRequestException: Mã xác thực đã bị khóa do nhập sai quá 5 lần. Vui lòng yêu cầu gửi lại mã mới.</t>
  </si>
  <si>
    <t>Old refresh token revoked (token rotation)</t>
  </si>
  <si>
    <t>BadRequestException: Mã xác thực đã bị khóa do nhập sai quá 5 lần...</t>
  </si>
  <si>
    <t>Void; refresh token row deleted (session terminated)</t>
  </si>
  <si>
    <t>Void; every refresh token of the user is deleted</t>
  </si>
  <si>
    <t>BadRequestException: Mã xác thực đã hết hạn</t>
  </si>
  <si>
    <t>ResourceNotFoundException: Không tìm thấy tài khoản người dùng với email: ...</t>
  </si>
  <si>
    <t>BadRequestException: Tài khoản hoặc mật khẩu không chính xác</t>
  </si>
  <si>
    <t>BadRequestException: Vui lòng đợi ... trước khi yêu cầu gửi lại mã OTP mới.</t>
  </si>
  <si>
    <t>BadRequestException: Tài khoản của bạn đã bị khóa. Vui lòng liên hệ quản trị viên.</t>
  </si>
  <si>
    <t>BadRequestException: Tài khoản này đã được xác thực email trước đó</t>
  </si>
  <si>
    <t>BadRequestException: Tài khoản của bạn đang chờ quản trị viên phê duyệt. Vui lòng đợi.</t>
  </si>
  <si>
    <t>BadRequestException: Email của bạn chưa được xác thực. Vui lòng kiểm tra hòm thư để xác thực trước.</t>
  </si>
  <si>
    <t>Log message</t>
  </si>
  <si>
    <t>BadRequestException: Tài khoản này được đăng ký thông qua mạng xã hội khác</t>
  </si>
  <si>
    <t>Verification OTP email sent to student@fpt.edu.vn</t>
  </si>
  <si>
    <t>Verification OTP email sent</t>
  </si>
  <si>
    <t>BadRequestException: Phiên đăng nhập đã hết hạn hoặc bị thu hồi vì lý do bảo mật. Vui lòng đăng nhập lại.</t>
  </si>
  <si>
    <t>Verification OTP email re-sent</t>
  </si>
  <si>
    <t>BadRequestException: Phiên đăng nhập đã hết hạn hoặc bị thu hồi vì lý do bảo mật...</t>
  </si>
  <si>
    <t>BadRequestException: Phiên đăng nhập không tồn tại hoặc đã hết hạn.</t>
  </si>
  <si>
    <t>Welcome notification sent</t>
  </si>
  <si>
    <t>Verification OTP email sent with the profile full name</t>
  </si>
  <si>
    <t>All refresh tokens of the user are deleted (force logout on every device)</t>
  </si>
  <si>
    <t>Result</t>
  </si>
  <si>
    <t>Type(N : Normal, A : Abnormal, B : Boundary)</t>
  </si>
  <si>
    <t>Passed/Failed</t>
  </si>
  <si>
    <t>P</t>
  </si>
  <si>
    <t>Executed Date</t>
  </si>
  <si>
    <t>Defect ID</t>
  </si>
  <si>
    <t>TrietNH</t>
  </si>
  <si>
    <t>Google OAuth sign in and new account registration</t>
  </si>
  <si>
    <t>Change password and recover forgotten password via OTP</t>
  </si>
  <si>
    <t>HieuPT</t>
  </si>
  <si>
    <t>Google token valid (aud matches, email_verified=true)</t>
  </si>
  <si>
    <t>UTCID24</t>
  </si>
  <si>
    <t>Google account already linked to an ACTIVE user</t>
  </si>
  <si>
    <t>Google token valid</t>
  </si>
  <si>
    <t>View own profile and public profiles of other members</t>
  </si>
  <si>
    <t>ACTIVE account exists for the email</t>
  </si>
  <si>
    <t>Google account not linked and email is not registered</t>
  </si>
  <si>
    <t>Google token audience (aud) differs from the configured client id</t>
  </si>
  <si>
    <t>No previous PASSWORD_RESET OTP</t>
  </si>
  <si>
    <t>Google reports email_verified = false</t>
  </si>
  <si>
    <t>Google tokeninfo call fails (network error / invalid token)</t>
  </si>
  <si>
    <t>Role STUDENT, major exists, student code unused</t>
  </si>
  <si>
    <t>Account status is PENDING (email not verified yet)</t>
  </si>
  <si>
    <t>Role ALUMNI with proofUrl</t>
  </si>
  <si>
    <t>Email belongs to an ACTIVE account</t>
  </si>
  <si>
    <t>ACTIVE account</t>
  </si>
  <si>
    <t>Last PASSWORD_RESET OTP created just now (&lt; 5 minutes)</t>
  </si>
  <si>
    <t>GoogleLoginRequest(token)</t>
  </si>
  <si>
    <t>Last PASSWORD_RESET OTP created 6 minutes ago (cool-down elapsed)</t>
  </si>
  <si>
    <t>GoogleLoginRequest(token issued for another app)</t>
  </si>
  <si>
    <t>GoogleRegisterRequest(role=STUDENT)</t>
  </si>
  <si>
    <t>Latest PASSWORD_RESET OTP is unused, not expired, failedAttempts = 0</t>
  </si>
  <si>
    <t>GoogleRegisterRequest(role=ALUMNI, proofUrl)</t>
  </si>
  <si>
    <t>Latest OTP valid, failedAttempts = 0</t>
  </si>
  <si>
    <t>Latest OTP expired</t>
  </si>
  <si>
    <t>User never requested a reset (no PASSWORD_RESET OTP found)</t>
  </si>
  <si>
    <t>Latest PASSWORD_RESET OTP valid</t>
  </si>
  <si>
    <t>LoginResponse with access + refresh tokens</t>
  </si>
  <si>
    <t>OTP was already used</t>
  </si>
  <si>
    <t>lastLoginAt updated</t>
  </si>
  <si>
    <t>LoginResponse with tokens; account ACTIVE, AuthProvider=GOOGLE, avatar taken from Google picture</t>
  </si>
  <si>
    <t>OTP valid</t>
  </si>
  <si>
    <t>OAuth link UserOAuthProvider saved</t>
  </si>
  <si>
    <t>LoginResponse without tokens (null) and accountStatus=WAITING_APPROVAL</t>
  </si>
  <si>
    <t>OTP has failedAttempts = 4</t>
  </si>
  <si>
    <t>VerificationRequest saved</t>
  </si>
  <si>
    <t>Authenticated user with local password</t>
  </si>
  <si>
    <t>Authenticated user with a profile</t>
  </si>
  <si>
    <t>GoogleUserNotFoundException: Tài khoản Google chưa được đăng ký trên hệ thống. (carries email, name, providerUserId)</t>
  </si>
  <si>
    <t>Old password matches stored hash</t>
  </si>
  <si>
    <t>BadRequestException: Token xác thực Google không khớp với Client ID của hệ thống</t>
  </si>
  <si>
    <t>followers = 7, following = 3</t>
  </si>
  <si>
    <t>Authenticated user exists</t>
  </si>
  <si>
    <t>BadRequestException: Tài khoản Google này chưa được xác thực email</t>
  </si>
  <si>
    <t>BadRequestException: Không thể xác thực tài khoản Google vào lúc này. Vui lòng thử lại sau.</t>
  </si>
  <si>
    <t>Old password does not match stored hash</t>
  </si>
  <si>
    <t>Account exists but has no profile row</t>
  </si>
  <si>
    <t>Account was created through Google (passwordHash = null)</t>
  </si>
  <si>
    <t>Target user is ACTIVE</t>
  </si>
  <si>
    <t>No account exists for the authenticated email</t>
  </si>
  <si>
    <t>Viewer is anonymous (no authentication)</t>
  </si>
  <si>
    <t>Validator applied to ChangePasswordRequest</t>
  </si>
  <si>
    <t>Logged-in viewer already follows the target</t>
  </si>
  <si>
    <t>Validator applied to ResetPasswordRequest</t>
  </si>
  <si>
    <t>Target user exists but account is LOCKED</t>
  </si>
  <si>
    <t>No user with id 999</t>
  </si>
  <si>
    <t>ForgotPasswordRequest(email with spaces/upper-case)</t>
  </si>
  <si>
    <t>ForgotPasswordRequest(unknown email)</t>
  </si>
  <si>
    <t>email of the logged-in user</t>
  </si>
  <si>
    <t>ForgotPasswordRequest(email)</t>
  </si>
  <si>
    <t>unknown email</t>
  </si>
  <si>
    <t>VerifyResetOtpRequest(email, correct OTP)</t>
  </si>
  <si>
    <t>userId = 10</t>
  </si>
  <si>
    <t>VerifyResetOtpRequest(email, wrong OTP)</t>
  </si>
  <si>
    <t>userId = 999</t>
  </si>
  <si>
    <t>VerifyResetOtpRequest(email, OTP)</t>
  </si>
  <si>
    <t>ResetPasswordRequest(email, correct OTP, newPassword=NewPassw0rd)</t>
  </si>
  <si>
    <t>ResetPasswordRequest(email, OTP, newPassword)</t>
  </si>
  <si>
    <t>ResetPasswordRequest(email, wrong OTP, newPassword)</t>
  </si>
  <si>
    <t>ResetPasswordRequest(email, wrong OTP) - the 5th wrong attempt</t>
  </si>
  <si>
    <t>UserProfileResponse with followersCount = 7, followingCount = 3, isFollowing = false</t>
  </si>
  <si>
    <t>email, ChangePasswordRequest(oldPassword, newPassword=NewPassw0rd, confirmNewPassword=NewPassw0rd)</t>
  </si>
  <si>
    <t>UserProfileResponse with isFollowing = false and follow counters</t>
  </si>
  <si>
    <t>ChangePasswordRequest(oldPassword=wrong, ...)</t>
  </si>
  <si>
    <t>UserProfileResponse with isFollowing = true</t>
  </si>
  <si>
    <t>ChangePasswordRequest(oldPassword = newPassword = SamePassw0rd)</t>
  </si>
  <si>
    <t>ChangePasswordRequest(newPassword != confirmNewPassword)</t>
  </si>
  <si>
    <t>ResourceNotFoundException: Không tìm thấy hồ sơ cá nhân cho tài khoản: ...</t>
  </si>
  <si>
    <t>ChangePasswordRequest(...)</t>
  </si>
  <si>
    <t>BadRequestException: Tài khoản người dùng này chưa được kích hoạt hoặc đã bị khóa.</t>
  </si>
  <si>
    <t>email, ChangePasswordRequest</t>
  </si>
  <si>
    <t>ResourceNotFoundException: Không tìm thấy tài khoản người dùng với ID: 999</t>
  </si>
  <si>
    <t>newPassword length = 8 with letters and digits</t>
  </si>
  <si>
    <t>newPassword length = 7</t>
  </si>
  <si>
    <t>OTP token length = 6</t>
  </si>
  <si>
    <t>OTP token length = 5 (below required 6 digits)</t>
  </si>
  <si>
    <t>Void; old OTPs invalidated, new 6-digit PASSWORD_RESET OTP saved (valid 5 minutes)</t>
  </si>
  <si>
    <t>Void; a new OTP is created and e-mailed</t>
  </si>
  <si>
    <t>Void; no exception and OTP stays unused so it can be used by resetPassword</t>
  </si>
  <si>
    <t>Void; OTP marked used, password hash replaced by BCrypt hash of the new password</t>
  </si>
  <si>
    <t>Void; password hash updated with the BCrypt hash of the new password</t>
  </si>
  <si>
    <t>BadRequestException: Tài khoản của bạn chưa được xác thực email...</t>
  </si>
  <si>
    <t>ResourceNotFoundException: Không tìm thấy yêu cầu đặt lại mật khẩu nào cho tài khoản này</t>
  </si>
  <si>
    <t>BadRequestException: Mã xác thực này đã được sử dụng trước đó</t>
  </si>
  <si>
    <t>BadRequestException: Mật khẩu hiện tại không chính xác.</t>
  </si>
  <si>
    <t>BadRequestException: Mật khẩu mới không được trùng với mật khẩu hiện tại.</t>
  </si>
  <si>
    <t>BadRequestException: Xác nhận mật khẩu mới không trùng khớp.</t>
  </si>
  <si>
    <t>ConstraintViolation: Mật khẩu mới phải có độ dài từ 8 đến 100 ký tự</t>
  </si>
  <si>
    <t>ConstraintViolation: Mã xác thực phải đúng 6 chữ số</t>
  </si>
  <si>
    <t>Password reset email sent with the full name from profile</t>
  </si>
  <si>
    <t>Password reset email sent (fallback name = email when profile is missing)</t>
  </si>
  <si>
    <t>Edit profile, upload images and manage skills</t>
  </si>
  <si>
    <t>Major id 1 exists</t>
  </si>
  <si>
    <t>Authenticated user with existing skills</t>
  </si>
  <si>
    <t>UpdateProfileRequest(majorId=1, skills=[Java, React])</t>
  </si>
  <si>
    <t>UpdateProfileRequest(majorId = null, skills = null)</t>
  </si>
  <si>
    <t>UpdateProfileRequest(majorId = 99)</t>
  </si>
  <si>
    <t>UpdateProfileRequest(skills = [] empty list)</t>
  </si>
  <si>
    <t>UserProfileResponse; profile saved with the major</t>
  </si>
  <si>
    <t>Old skills deleted, 2 new UserSkill rows saved</t>
  </si>
  <si>
    <t>Major cleared (null) and existing skills untouched</t>
  </si>
  <si>
    <t>All existing skills deleted and nothing inserted (saveAll not called)</t>
  </si>
  <si>
    <t>ResourceNotFoundException: Không tìm thấy chuyên ngành với ID: 99</t>
  </si>
  <si>
    <t>Add, edit, delete and promote career experiences</t>
  </si>
  <si>
    <t>User has 2 experiences</t>
  </si>
  <si>
    <t>User has no primary experience</t>
  </si>
  <si>
    <t>User exists</t>
  </si>
  <si>
    <t>Search and filter the alumni directory</t>
  </si>
  <si>
    <t>Experience id 5 belongs to the user</t>
  </si>
  <si>
    <t>Experience id 404 does not belong to the user / does not exist</t>
  </si>
  <si>
    <t>Experience id 5 is the primary one</t>
  </si>
  <si>
    <t>Another current experience exists</t>
  </si>
  <si>
    <t>Experience id 404 does not exist for the user</t>
  </si>
  <si>
    <t>Experience id 5 is current and primary (started 2022-01-01)</t>
  </si>
  <si>
    <t>Experience id 5 already ended (isCurrent = false)</t>
  </si>
  <si>
    <t>Experience id 5 is current, started 2022-01-01</t>
  </si>
  <si>
    <t>ExperienceRequest(isCurrent = true, startDate, no endDate)</t>
  </si>
  <si>
    <t>ExperienceRequest(isCurrent = false, startDate 2020-01-01, endDate 2021-01-01)</t>
  </si>
  <si>
    <t>ExperienceRequest(startDate = null)</t>
  </si>
  <si>
    <t>ExperienceRequest(isCurrent = false, endDate = null)</t>
  </si>
  <si>
    <t>ExperienceRequest(endDate 2019-12-31 &lt; startDate 2020-01-01)</t>
  </si>
  <si>
    <t>ExperienceRequest(endDate = startDate = 2020-01-01)</t>
  </si>
  <si>
    <t>ExperienceRequest(isPrimary = true, isCurrent = false)</t>
  </si>
  <si>
    <t>Anonymous visitor (no authentication)</t>
  </si>
  <si>
    <t>ExperienceRequest(latitude = 10.5, longitude = null)</t>
  </si>
  <si>
    <t>Repository returns 2 users with profile</t>
  </si>
  <si>
    <t>ExperienceRequest(latitude = 90, longitude = 180) - upper bounds</t>
  </si>
  <si>
    <t>Repository returns users</t>
  </si>
  <si>
    <t>ExperienceRequest(latitude = 90.1) - just above the upper bound</t>
  </si>
  <si>
    <t>No user matches the filters</t>
  </si>
  <si>
    <t>Viewer is logged in (id 99)</t>
  </si>
  <si>
    <t>ExperienceRequest(longitude = -180.1) - just below the lower bound</t>
  </si>
  <si>
    <t>Viewer follows user 1 and has 3 mutual connections with user 1</t>
  </si>
  <si>
    <t>User 1 has 5 followers, 2 following</t>
  </si>
  <si>
    <t>id = 5, ExperienceRequest(title = Lead Developer, isCurrent = true)</t>
  </si>
  <si>
    <t>A matched user has no profile row</t>
  </si>
  <si>
    <t>id = 404, ExperienceRequest</t>
  </si>
  <si>
    <t>Repository returns 1 user</t>
  </si>
  <si>
    <t>Two primary experiences exist for the same user (duplicate rows)</t>
  </si>
  <si>
    <t>id = 5</t>
  </si>
  <si>
    <t>Database has cohorts [2018, 2019] and cities [Ha Noi, Da Nang]</t>
  </si>
  <si>
    <t>id = 404</t>
  </si>
  <si>
    <t>Database has no profile data</t>
  </si>
  <si>
    <t>id = 5, PromotionRequest(newTitle = Tech Lead, newStartDate = 2024-01-01)</t>
  </si>
  <si>
    <t>query="nguyen", role=ALUMNI, majorId=1, cohort=2018, city="Ha Noi", skill=Java, company=FPT, page=0, size=10, sortBy=createdAt, sortDirection=DESC</t>
  </si>
  <si>
    <t>id = 5, PromotionRequest</t>
  </si>
  <si>
    <t>sortBy=fullName, sortDirection=asc (lower-case)</t>
  </si>
  <si>
    <t>sortBy=cohort, sortDirection=DESC</t>
  </si>
  <si>
    <t>PromotionRequest(newStartDate = 2022-01-01) - equal to the old start date</t>
  </si>
  <si>
    <t>sortBy=unknownField, sortDirection=null</t>
  </si>
  <si>
    <t>query="zzz-no-match"</t>
  </si>
  <si>
    <t>default search</t>
  </si>
  <si>
    <t>page = 0, size = 1 (smallest page)</t>
  </si>
  <si>
    <t>(no input)</t>
  </si>
  <si>
    <t>List of 2 ExperienceResponse ordered by start date descending</t>
  </si>
  <si>
    <t>Experience saved as primary + current with endDate = null</t>
  </si>
  <si>
    <t>PageResponse with 2 UserDirectoryResponse, totalElements=2, followersCount defaults to 0, isFollowing=false</t>
  </si>
  <si>
    <t>Pageable sorted by profile.fullName ASC</t>
  </si>
  <si>
    <t>Experience saved as non-primary</t>
  </si>
  <si>
    <t>Pageable sorted by profile.cohort DESC</t>
  </si>
  <si>
    <t>Accepted: experience saved (end date may equal start date)</t>
  </si>
  <si>
    <t>Falls back to createdAt DESC</t>
  </si>
  <si>
    <t>Accepted: experience saved</t>
  </si>
  <si>
    <t>Empty PageResponse (content = [], totalElements = 0); no batch queries executed</t>
  </si>
  <si>
    <t>Item of user 1: isFollowing=true, mutualFollowsCount=3, followersCount=5, followingCount=2</t>
  </si>
  <si>
    <t>ExperienceResponse; experience updated and saved, endDate cleared for current job</t>
  </si>
  <si>
    <t>Fallback item built from the User (email, role, isAccountVerified) instead of failing</t>
  </si>
  <si>
    <t>PageResponse with pageNumber = 0, pageSize = 1</t>
  </si>
  <si>
    <t>Void; experience deleted and the latest current experience is promoted to primary</t>
  </si>
  <si>
    <t>No exception; the first primary experience is kept (merge function)</t>
  </si>
  <si>
    <t>Old experience ended on 2023-12-31 and no longer primary</t>
  </si>
  <si>
    <t>UserFilterOptionsResponse(cohorts=[2018,2019], cities=[Ha Noi, Da Nang])</t>
  </si>
  <si>
    <t>New current experience with the same company becomes primary</t>
  </si>
  <si>
    <t>UserFilterOptionsResponse with empty cohorts and cities</t>
  </si>
  <si>
    <t>BadRequestException: Ngày bắt đầu không được để trống</t>
  </si>
  <si>
    <t>BadRequestException: Ngày kết thúc không được để trống khi đã kết thúc công việc</t>
  </si>
  <si>
    <t>BadRequestException: Ngày kết thúc không được trước ngày bắt đầu</t>
  </si>
  <si>
    <t>BadRequestException: Chỉ kinh nghiệm hiện tại mới được đặt làm chính (primary)</t>
  </si>
  <si>
    <t>Show connection suggestions and follow members</t>
  </si>
  <si>
    <t>BadRequestException: Vĩ độ và kinh độ phải cùng tồn tại hoặc cùng trống</t>
  </si>
  <si>
    <t>BadRequestException: Vĩ độ phải nằm trong khoảng -90 đến 90</t>
  </si>
  <si>
    <t>BadRequestException: Kinh độ phải nằm trong khoảng -180 đến 180</t>
  </si>
  <si>
    <t>ResourceNotFoundException: Không tìm thấy kinh nghiệm làm việc với ID: 404</t>
  </si>
  <si>
    <t>BadRequestException: Không thể thăng chức cho kinh nghiệm làm việc đã kết thúc</t>
  </si>
  <si>
    <t>BadRequestException: Ngày bắt đầu vai trò mới phải sau ngày bắt đầu vai trò cũ</t>
  </si>
  <si>
    <t>Visitor not logged in (email = null)</t>
  </si>
  <si>
    <t>Follow / unfollow members and view followers / following</t>
  </si>
  <si>
    <t>Guest candidate is verified and has primary experience 'Dev @ FPT' and 4 followers</t>
  </si>
  <si>
    <t>Viewer logged in with major SE</t>
  </si>
  <si>
    <t>Candidate has the same major SE</t>
  </si>
  <si>
    <t>Viewer cohort 2018</t>
  </si>
  <si>
    <t>Candidate cohort 2018</t>
  </si>
  <si>
    <t>Candidate cohort 2019 (difference = 1)</t>
  </si>
  <si>
    <t>Candidate cohort 2021 (difference = 3, outside the 0..2 window)</t>
  </si>
  <si>
    <t>Viewer city Ha Noi</t>
  </si>
  <si>
    <t>Candidate city "ha noi" (case-insensitive match)</t>
  </si>
  <si>
    <t>Viewer owns skills Java, React</t>
  </si>
  <si>
    <t>Candidate owns skills java, react, go</t>
  </si>
  <si>
    <t>Candidate A has 0 mutual connections but a high score</t>
  </si>
  <si>
    <t>Candidate B has 2 mutual connections</t>
  </si>
  <si>
    <t>Viewer follows users 7 and 8</t>
  </si>
  <si>
    <t>60 candidates available</t>
  </si>
  <si>
    <t>No candidate is available</t>
  </si>
  <si>
    <t>Email does not belong to any account</t>
  </si>
  <si>
    <t>email = null, limit = 5</t>
  </si>
  <si>
    <t>email = viewer@fpt.edu.vn, limit = 5</t>
  </si>
  <si>
    <t>email, limit = 5</t>
  </si>
  <si>
    <t>limit = 0 (non-positive)</t>
  </si>
  <si>
    <t>limit = 100 (above the maximum)</t>
  </si>
  <si>
    <t>Both accounts ACTIVE</t>
  </si>
  <si>
    <t>email = ghost@fpt.edu.vn</t>
  </si>
  <si>
    <t>Not following yet</t>
  </si>
  <si>
    <t>Follower email does not exist</t>
  </si>
  <si>
    <t>Target user id 404 does not exist</t>
  </si>
  <si>
    <t>1 suggestion; matchScore = 40 (experience) + 30 (verified) + 4 (followers) = 74</t>
  </si>
  <si>
    <t>Logged-in user id = 1</t>
  </si>
  <si>
    <t>reason badges: "Dev @ FPT", "Cựu sinh viên tiêu biểu"</t>
  </si>
  <si>
    <t>Follower account is LOCKED</t>
  </si>
  <si>
    <t>Badge "Cùng ngành SE" and score includes +30</t>
  </si>
  <si>
    <t>Target account is LOCKED</t>
  </si>
  <si>
    <t>Badge "Cùng khóa K2018" and score +25</t>
  </si>
  <si>
    <t>Badge "Sát khóa (K2019)" and score +15</t>
  </si>
  <si>
    <t>Follow relation already exists</t>
  </si>
  <si>
    <t>No cohort score; fallback badge "Thành viên cộng đồng FPTU", matchScore = 0</t>
  </si>
  <si>
    <t>Two concurrent requests: unique constraint is violated while saving</t>
  </si>
  <si>
    <t>Badge "Đang ở ha noi" and score +15</t>
  </si>
  <si>
    <t>Follow relation exists</t>
  </si>
  <si>
    <t>Badge "2 kỹ năng chung" and score +10 (5 per shared skill)</t>
  </si>
  <si>
    <t>Target exists but is not followed by the user</t>
  </si>
  <si>
    <t>Candidate B is listed first (mutual connections take priority), badge "2 kết nối chung"</t>
  </si>
  <si>
    <t>Target user 2 is ACTIVE</t>
  </si>
  <si>
    <t>Candidates are requested excluding the viewer (99) and followed users (7, 8)</t>
  </si>
  <si>
    <t>Follower 3 has primary experience 'Dev @ FPT' and no declared headline</t>
  </si>
  <si>
    <t>Limit defaults to 5 -&gt; 5 suggestions</t>
  </si>
  <si>
    <t>Logged-in viewer follows follower 3</t>
  </si>
  <si>
    <t>Limit capped to 50 -&gt; 50 suggestions</t>
  </si>
  <si>
    <t>Empty list and no batch queries</t>
  </si>
  <si>
    <t>Target user is LOCKED</t>
  </si>
  <si>
    <t>Treated as guest: findGuestCandidates is used instead of personalised candidates</t>
  </si>
  <si>
    <t>User id 404 does not exist</t>
  </si>
  <si>
    <t>User 2 follows user 3 who has no profile row and no experience</t>
  </si>
  <si>
    <t>Viewer is anonymous</t>
  </si>
  <si>
    <t>Followed user declared headline "Backend Engineer"</t>
  </si>
  <si>
    <t>Target user 2 has no followers</t>
  </si>
  <si>
    <t>followerEmail = me@fpt.edu.vn, followingId = 2</t>
  </si>
  <si>
    <t>followerEmail = ghost@fpt.edu.vn, followingId = 2</t>
  </si>
  <si>
    <t>followerEmail, followingId = 404</t>
  </si>
  <si>
    <t>followingId = 1 (self)</t>
  </si>
  <si>
    <t>followerEmail, followingId = 2</t>
  </si>
  <si>
    <t>viewerEmail = me@fpt.edu.vn, userId = 2, Pageable(0, 10)</t>
  </si>
  <si>
    <t>viewerEmail, userId = 2, Pageable</t>
  </si>
  <si>
    <t>viewerEmail, userId = 404, Pageable</t>
  </si>
  <si>
    <t>viewerEmail = null, userId = 2, Pageable(0, 10)</t>
  </si>
  <si>
    <t>viewerEmail = null, userId = 2, Pageable</t>
  </si>
  <si>
    <t>Void; Follow row saved (saveAndFlush)</t>
  </si>
  <si>
    <t>Void; Follow row deleted</t>
  </si>
  <si>
    <t>PageResponse with 1 FollowUserResponse: headline = "Dev @ FPT", isFollowing = true</t>
  </si>
  <si>
    <t>fullName = "Thành viên AlumNect", headline = "Cựu sinh viên FPTU", isFollowing = false</t>
  </si>
  <si>
    <t>headline = "Backend Engineer" (declared headline has priority over experience)</t>
  </si>
  <si>
    <t>Empty PageResponse (content = [], totalElements = 0, last = true)</t>
  </si>
  <si>
    <t>ResourceNotFoundException: Không tìm thấy tài khoản người thực hiện theo dõi.</t>
  </si>
  <si>
    <t>ResourceNotFoundException: Không tìm thấy tài khoản người dùng cần theo dõi.</t>
  </si>
  <si>
    <t>BadRequestException: Bạn không thể tự theo dõi chính mình.</t>
  </si>
  <si>
    <t>BadRequestException: Tài khoản của bạn chưa được kích hoạt hoặc đã bị khóa.</t>
  </si>
  <si>
    <t>BadRequestException: Tài khoản người dùng cần theo dõi chưa được kích hoạt hoặc đã bị khóa.</t>
  </si>
  <si>
    <t>ConflictException: Bạn đã theo dõi người dùng này từ trước.</t>
  </si>
  <si>
    <t>ConflictException: Bạn đã theo dõi người dùng này từ trước. (DataIntegrityViolationException mapped to 409)</t>
  </si>
  <si>
    <t>ResourceNotFoundException: Không tìm thấy tài khoản người dùng cần hủy theo dõi.</t>
  </si>
  <si>
    <t>BadRequestException: Bạn chưa theo dõi người dùng này.</t>
  </si>
  <si>
    <t>BadRequestException: Người dùng này chưa được kích hoạt hoặc đã bị khóa.</t>
  </si>
  <si>
    <t>ResourceNotFoundException: Không tìm thấy người dùng.</t>
  </si>
  <si>
    <t>Follow notification sent to the followed user</t>
  </si>
  <si>
    <t>Admin access control, sidebar navigation and logout</t>
  </si>
  <si>
    <t>Admin dashboard KPIs, registration chart and action items</t>
  </si>
  <si>
    <t>User ADMIN, id=1, accountVerified = true</t>
  </si>
  <si>
    <t>Access-token lifetime configured to 24 hours (86400000 ms)</t>
  </si>
  <si>
    <t>Refresh-token lifetime configured to 7 days</t>
  </si>
  <si>
    <t>Fresh token issued for admin@fpt.edu.vn</t>
  </si>
  <si>
    <t>DB: 100 users (60 students, 35 alumni, 5 admins), 90 ACTIVE, 4 LOCKED, 7 pending verification requests</t>
  </si>
  <si>
    <t>Token belongs to admin@fpt.edu.vn</t>
  </si>
  <si>
    <t>No registrations in the last 7 days</t>
  </si>
  <si>
    <t>Token lifetime is negative, so the token is already expired</t>
  </si>
  <si>
    <t>DB returns 3 registrations for today (row date type = java.sql.Date) and 2 for yesterday (row date type = LocalDate)</t>
  </si>
  <si>
    <t>DB returns a row with a date given as String and a row with null date</t>
  </si>
  <si>
    <t>Token payload/signature altered after signing</t>
  </si>
  <si>
    <t>No registration data by month</t>
  </si>
  <si>
    <t>Token is not a JWT</t>
  </si>
  <si>
    <t>DB returns 8 registrations in month 3 and 5 in month 12</t>
  </si>
  <si>
    <t>Authorization: Bearer &lt;valid token&gt; of an ADMIN</t>
  </si>
  <si>
    <t>DB returns registrations per year: 2024 -&gt; 40, 2025 -&gt; 60</t>
  </si>
  <si>
    <t>validateToken returns true</t>
  </si>
  <si>
    <t>DB returns no yearly rows (empty system)</t>
  </si>
  <si>
    <t>Request has no Authorization header (guest)</t>
  </si>
  <si>
    <t>Total users = 12</t>
  </si>
  <si>
    <t>Authorization header uses another scheme (Basic abc)</t>
  </si>
  <si>
    <t>Empty database: every counter returns 0</t>
  </si>
  <si>
    <t>Bearer token is garbage; JwtService throws while parsing</t>
  </si>
  <si>
    <t>Token valid but the user no longer exists</t>
  </si>
  <si>
    <t>Token fails validation (expired or user mismatch): validateToken returns false</t>
  </si>
  <si>
    <t>ACTIVE, email-verified ADMIN account</t>
  </si>
  <si>
    <t>Role name already stored with the ROLE_ prefix</t>
  </si>
  <si>
    <t>Account status LOCKED</t>
  </si>
  <si>
    <t>Email not verified</t>
  </si>
  <si>
    <t>AdminDashboardSummaryDto with totalUsers=100, totalStudents=60, totalAlumni=35, totalAdmins=5, activeUsers=90, lockedUsers=4, pendingVerifications=7</t>
  </si>
  <si>
    <t>registrationsLast7Days has exactly 7 entries from today-6 to today, each with count 0</t>
  </si>
  <si>
    <t>No account for the email</t>
  </si>
  <si>
    <t>Last entry (today) count = 3, previous entry (yesterday) count = 2, other days 0</t>
  </si>
  <si>
    <t>String date is mapped to its day; null-date row is ignored without error</t>
  </si>
  <si>
    <t>Google account with passwordHash = null</t>
  </si>
  <si>
    <t>registrationsByMonth has exactly 12 entries labelled "Tháng 1" ... "Tháng 12", all 0</t>
  </si>
  <si>
    <t>"Tháng 3" = 8, "Tháng 12" = 5, remaining months 0</t>
  </si>
  <si>
    <t>Endpoints constants used by SecurityConfiguration</t>
  </si>
  <si>
    <t>registrationsByYear = ["Năm 2024":40, "Năm 2025":60]</t>
  </si>
  <si>
    <t>Fallback: one entry "Năm &lt;current year&gt;" with count = totalUsers = 12</t>
  </si>
  <si>
    <t>Admin user list, filters, detail and lock / unlock</t>
  </si>
  <si>
    <t>All KPI counters are 0; trend lists still have 7 / 12 / 1 entries (no exception)</t>
  </si>
  <si>
    <t>generateToken(user)</t>
  </si>
  <si>
    <t>generateRefreshToken(user)</t>
  </si>
  <si>
    <t>validateToken(token, UserDetails admin@fpt.edu.vn)</t>
  </si>
  <si>
    <t>validateToken(token, UserDetails other@fpt.edu.vn)</t>
  </si>
  <si>
    <t>extractUsername(expiredToken)</t>
  </si>
  <si>
    <t>extractUsername(tamperedToken)</t>
  </si>
  <si>
    <t>extractUsername("not-a-jwt")</t>
  </si>
  <si>
    <t>HTTP GET /api/v1/admin/dashboard</t>
  </si>
  <si>
    <t>HTTP GET</t>
  </si>
  <si>
    <t>HTTP GET with Authorization: Bearer garbage</t>
  </si>
  <si>
    <t>HTTP GET with Authorization: Bearer tok</t>
  </si>
  <si>
    <t>loadUserByUsername("admin@fpt.edu.vn")</t>
  </si>
  <si>
    <t>loadUserByUsername(email)</t>
  </si>
  <si>
    <t>loadUserByUsername("ghost@fpt.edu.vn")</t>
  </si>
  <si>
    <t>Endpoints.ADMIN_ENDPOINT</t>
  </si>
  <si>
    <t>Endpoints.PUBLIC_POST</t>
  </si>
  <si>
    <t>2 users match; user 1 owns a mentor profile (id 55), user 2 does not</t>
  </si>
  <si>
    <t>One mentor with two mentor-profile rows (duplicates)</t>
  </si>
  <si>
    <t>HS256 JWT with subject = email and claims id, email, role=ADMIN, isAccountVerified=true</t>
  </si>
  <si>
    <t>Exactly 1 user in the system</t>
  </si>
  <si>
    <t>User 1 and profile exist; user owns mentor profile id 55</t>
  </si>
  <si>
    <t>exp - iat equals 24 hours (within 1 second)</t>
  </si>
  <si>
    <t>User 1 and profile exist; no mentor profile</t>
  </si>
  <si>
    <t>JWT valid for 7 days, carries role claim but no isAccountVerified claim</t>
  </si>
  <si>
    <t>User 1 exists but has no profile row</t>
  </si>
  <si>
    <t>true</t>
  </si>
  <si>
    <t>ACTIVE user 1 exists</t>
  </si>
  <si>
    <t>false (token subject does not match the user)</t>
  </si>
  <si>
    <t>LOCKED user 1 exists</t>
  </si>
  <si>
    <t>User 1 exists</t>
  </si>
  <si>
    <t>SecurityContext authenticated as admin@fpt.edu.vn with authority ROLE_ADMIN</t>
  </si>
  <si>
    <t>Filter chain continues</t>
  </si>
  <si>
    <t>query="nguyen", role=STUDENT, status=ACTIVE, majorId=1, cohort=2020, page=0, size=10</t>
  </si>
  <si>
    <t>No authentication in SecurityContext; filter chain continues</t>
  </si>
  <si>
    <t>query="zzz", page=0, size=10</t>
  </si>
  <si>
    <t>Admin post list with type, status and search filters</t>
  </si>
  <si>
    <t>page=0, size=10</t>
  </si>
  <si>
    <t>Header ignored: no authentication, JwtService never called</t>
  </si>
  <si>
    <t>page=0, size=1</t>
  </si>
  <si>
    <t>Exception swallowed and logged; no authentication; filter chain still continues</t>
  </si>
  <si>
    <t>id = 1</t>
  </si>
  <si>
    <t>UsernameNotFoundException swallowed; no authentication; chain continues</t>
  </si>
  <si>
    <t>id = 999</t>
  </si>
  <si>
    <t>id = 1, AdminUpdateUserStatusDto(status = LOCKED)</t>
  </si>
  <si>
    <t>No authentication in SecurityContext</t>
  </si>
  <si>
    <t>id = 1, status = "active" (lower-case)</t>
  </si>
  <si>
    <t>UserDetails: authority ROLE_ADMIN, enabled = true, accountNonLocked = true</t>
  </si>
  <si>
    <t>id = 1, status = "BANNED" (not an AccountStatus)</t>
  </si>
  <si>
    <t>Authority stays "ROLE_ADMIN" (prefix is not duplicated)</t>
  </si>
  <si>
    <t>id = 999, status = LOCKED</t>
  </si>
  <si>
    <t>UserDetails.accountNonLocked = false and enabled = false</t>
  </si>
  <si>
    <t>UserDetails.enabled = false</t>
  </si>
  <si>
    <t>UserDetails with empty password "" (no NullPointerException)</t>
  </si>
  <si>
    <t>Contains "/api/v1/admin/**" (all admin APIs require ROLE_ADMIN)</t>
  </si>
  <si>
    <t>Contains login / register / refresh / forgot-password routes, and no admin route</t>
  </si>
  <si>
    <t>PageResponse with 2 AdminUserDto; user 1 hasMentorProfile=true &amp; mentorProfileId=55; user 2 hasMentorProfile=false</t>
  </si>
  <si>
    <t>Empty PageResponse; profile and mentor-profile lookups are skipped</t>
  </si>
  <si>
    <t>ExpiredJwtException</t>
  </si>
  <si>
    <t>JwtException (signature does not match)</t>
  </si>
  <si>
    <t>No exception (merge function keeps the first); mentorProfileId = first row id</t>
  </si>
  <si>
    <t>PageResponse pageNumber=0, pageSize=1, totalPages=1, last=true</t>
  </si>
  <si>
    <t>MalformedJwtException</t>
  </si>
  <si>
    <t>AdminUserDto with hasMentorProfile=true, mentorProfileId=55</t>
  </si>
  <si>
    <t>UsernameNotFoundException: Không tìm thấy người dùng với email: ghost@fpt.edu.vn</t>
  </si>
  <si>
    <t>AdminUserDto with hasMentorProfile=false</t>
  </si>
  <si>
    <t>2 posts match; post 1 is a recruitment post linked to job 7, post 2 an event post linked to event 9</t>
  </si>
  <si>
    <t>Void; user.accountStatus = LOCKED and the user is saved</t>
  </si>
  <si>
    <t>Không thể thiết lập thông tin xác thực người dùng</t>
  </si>
  <si>
    <t>No post matches the filters</t>
  </si>
  <si>
    <t>Void; user.accountStatus = ACTIVE (status is case-insensitive)</t>
  </si>
  <si>
    <t>Two posts reference the same job id 7</t>
  </si>
  <si>
    <t>Posts without job / event</t>
  </si>
  <si>
    <t>ResourceNotFoundException: Không tìm thấy người dùng với ID: 999</t>
  </si>
  <si>
    <t>ResourceNotFoundException: Không tìm thấy hồ sơ cho người dùng với ID: 1</t>
  </si>
  <si>
    <t>query="fpt", author="", status="ACTIVE", type="RECRUITMENT", page=0, size=10</t>
  </si>
  <si>
    <t>BadRequestException: Trạng thái tài khoản không hợp lệ: BANNED</t>
  </si>
  <si>
    <t>PageResponse with 2 AdminPostResponse; mapper receives the matching JobPosting / Event for each post</t>
  </si>
  <si>
    <t>Empty PageResponse (content=[], totalElements=0); no job/event lookup</t>
  </si>
  <si>
    <t>Job ids are de-duplicated: JobPostingRepository.findAllById is called once with [7]</t>
  </si>
  <si>
    <t>Mapper is called with job = null, event = null; repositories are not queried</t>
  </si>
  <si>
    <t>Admin post detail, event card and job listing card</t>
  </si>
  <si>
    <t>Post 1 exists, linked to job 7 and event 9</t>
  </si>
  <si>
    <t>Post 1 exists without job/event</t>
  </si>
  <si>
    <t>No post with id 404</t>
  </si>
  <si>
    <t>AdminPostResponse built with the job and the event</t>
  </si>
  <si>
    <t>AdminPostResponse built with job = null and event = null</t>
  </si>
  <si>
    <t>ResourceNotFoundException: Không tìm thấy bài viết với ID: 404</t>
  </si>
  <si>
    <t>Admin hide / unhide violating posts</t>
  </si>
  <si>
    <t>Post 1 is ACTIVE</t>
  </si>
  <si>
    <t>Post 1 is HIDDEN</t>
  </si>
  <si>
    <t>Post 1 is DELETED</t>
  </si>
  <si>
    <t>Alumni verification queue, proof viewer, approve / reject</t>
  </si>
  <si>
    <t>id = 1, isHidden = true</t>
  </si>
  <si>
    <t>id = 1, isHidden = false</t>
  </si>
  <si>
    <t>id = 404, isHidden = true</t>
  </si>
  <si>
    <t>Void; post status = HIDDEN and saved</t>
  </si>
  <si>
    <t>Void; post status = ACTIVE and saved; no notification</t>
  </si>
  <si>
    <t>BadRequestException: Bài viết này đã bị xóa khỏi hệ thống, không thể thực hiện thao tác ẩn hoặc mở ẩn.</t>
  </si>
  <si>
    <t>Violation report queue, filters, resolve / dismiss</t>
  </si>
  <si>
    <t>Report-resolved notification sent to the post author</t>
  </si>
  <si>
    <t>2 PENDING requests exist</t>
  </si>
  <si>
    <t>No request matches</t>
  </si>
  <si>
    <t>Requests exist</t>
  </si>
  <si>
    <t>Request 9 is PENDING for a WAITING_APPROVAL alumni</t>
  </si>
  <si>
    <t>Request 9 is PENDING</t>
  </si>
  <si>
    <t>No verification request with id 404</t>
  </si>
  <si>
    <t>Request 9 is already APPROVED</t>
  </si>
  <si>
    <t>Validator applied to AdminReviewVerificationDto</t>
  </si>
  <si>
    <t>status = "PENDING", page = 0, size = 10</t>
  </si>
  <si>
    <t>status = "APPROVED", page = 0, size = 10</t>
  </si>
  <si>
    <t>status = "UNKNOWN" (invalid filter)</t>
  </si>
  <si>
    <t>id = 9, AdminReviewVerificationDto(status = APPROVED, reviewNote = "Proof is valid"), adminUser</t>
  </si>
  <si>
    <t>id = 9, AdminReviewVerificationDto(status = REJECTED, reviewNote = "Blurry proof")</t>
  </si>
  <si>
    <t>AdminReviewVerificationDto(status = "approved" lower-case, reviewNote = null)</t>
  </si>
  <si>
    <t>id = 404, AdminReviewVerificationDto(APPROVED)</t>
  </si>
  <si>
    <t>id = 9, AdminReviewVerificationDto(REJECTED)</t>
  </si>
  <si>
    <t>2 reports match the filters</t>
  </si>
  <si>
    <t>AdminReviewVerificationDto(status = "MAYBE")</t>
  </si>
  <si>
    <t>No report matches</t>
  </si>
  <si>
    <t>reviewNote length = 500 (maximum)</t>
  </si>
  <si>
    <t>Report 3 is PENDING</t>
  </si>
  <si>
    <t>reviewNote length = 501 (above maximum)</t>
  </si>
  <si>
    <t>Report 3 exists</t>
  </si>
  <si>
    <t>status = "PENDING" (only APPROVED|REJECTED allowed)</t>
  </si>
  <si>
    <t>No report with id 404</t>
  </si>
  <si>
    <t>query="spam", author="", reason="SPAM", status="PENDING", type="GENERAL", postId=10, page=0, size=10</t>
  </si>
  <si>
    <t>all filters null, page=0, size=10</t>
  </si>
  <si>
    <t>id = 3, status = "RESOLVED"</t>
  </si>
  <si>
    <t>PageResponse with 2 AdminVerificationRequestDto, profiles loaded in a single batch query</t>
  </si>
  <si>
    <t>id = 3, status = " dismissed " (lower-case with spaces)</t>
  </si>
  <si>
    <t>id = 3, status = "PENDING"</t>
  </si>
  <si>
    <t>Empty PageResponse; profile query skipped</t>
  </si>
  <si>
    <t>id = 3, status = "FOO"</t>
  </si>
  <si>
    <t>Invalid status filter is ignored (no exception); full list is returned</t>
  </si>
  <si>
    <t>id = 404, status = "RESOLVED"</t>
  </si>
  <si>
    <t>Void; request APPROVED with reviewer, note and reviewedAt</t>
  </si>
  <si>
    <t>User becomes ACTIVE and accountVerified = true</t>
  </si>
  <si>
    <t>Void; request REJECTED with note</t>
  </si>
  <si>
    <t>User accountVerified = false and account is LOCKED</t>
  </si>
  <si>
    <t>Decision is case-insensitive: request APPROVED, reviewNote stays null</t>
  </si>
  <si>
    <t>PageResponse with 2 AdminReportResponse and totalElements = 2</t>
  </si>
  <si>
    <t>Empty PageResponse (content=[], totalElements=0); mapper never called</t>
  </si>
  <si>
    <t>ResourceNotFoundException: Không tìm thấy phiếu yêu cầu xác minh với ID: 404</t>
  </si>
  <si>
    <t>Void; report.status = RESOLVED and saved</t>
  </si>
  <si>
    <t>BadRequestException: Phiếu yêu cầu xác minh này đã được xử lý từ trước</t>
  </si>
  <si>
    <t>Void; status is trimmed and case-insensitive: report.status = DISMISSED</t>
  </si>
  <si>
    <t>BadRequestException: Quyết định phê duyệt không hợp lệ: MAYBE</t>
  </si>
  <si>
    <t>ConstraintViolation: Nhận xét phê duyệt tối đa 500 ký tự</t>
  </si>
  <si>
    <t>ConstraintViolation: Trạng thái phê duyệt chỉ có thể là APPROVED hoặc REJECTED</t>
  </si>
  <si>
    <t>Welcome notification sent to the alumni</t>
  </si>
  <si>
    <t>BadRequestException: Không thể cập nhật báo cáo quay lại trạng thái PENDING.</t>
  </si>
  <si>
    <t>BadRequestException: Trạng thái báo cáo không hợp lệ: FOO</t>
  </si>
  <si>
    <t>ResourceNotFoundException: Không tìm thấy báo cáo vi phạm với ID: 404</t>
  </si>
  <si>
    <t>System notification history, create, schedule, cancel, archive</t>
  </si>
  <si>
    <t>UTCID25</t>
  </si>
  <si>
    <t>UTCID26</t>
  </si>
  <si>
    <t>UTCID27</t>
  </si>
  <si>
    <t>UTCID28</t>
  </si>
  <si>
    <t>UTCID29</t>
  </si>
  <si>
    <t>Admin exists</t>
  </si>
  <si>
    <t>2 ACTIVE users in the system</t>
  </si>
  <si>
    <t>Alumni users exist</t>
  </si>
  <si>
    <t>User 11 exists</t>
  </si>
  <si>
    <t>No admin account for the email</t>
  </si>
  <si>
    <t>User 404 does not exist</t>
  </si>
  <si>
    <t>No ACTIVE user for the target role</t>
  </si>
  <si>
    <t>WebSocket push throws for every recipient</t>
  </si>
  <si>
    <t>Notification 7 is SCHEDULED</t>
  </si>
  <si>
    <t>Notification 7 already SENT</t>
  </si>
  <si>
    <t>No notification with id 404</t>
  </si>
  <si>
    <t>Notification 7 is SENT</t>
  </si>
  <si>
    <t>Notification 7 is already ARCHIVED</t>
  </si>
  <si>
    <t>One SCHEDULED notification (ONE_DAY) is due</t>
  </si>
  <si>
    <t>No scheduled notification is due</t>
  </si>
  <si>
    <t>Two due notifications; dispatching the first one fails (user lookup throws)</t>
  </si>
  <si>
    <t>Two SENT/ACTIVE notifications are past their expiry</t>
  </si>
  <si>
    <t>No overdue notification</t>
  </si>
  <si>
    <t>2 notifications exist</t>
  </si>
  <si>
    <t>No notification exists</t>
  </si>
  <si>
    <t>title/content with spaces, recipientType=ALL_USERS, durationType=ONE_DAY, isScheduled=false</t>
  </si>
  <si>
    <t>recipientType=USER_ROLE, recipientRole=" alumni " (lower-case), durationType=ONE_WEEK</t>
  </si>
  <si>
    <t>recipientType=SPECIFIC_USER, recipientUserId=11</t>
  </si>
  <si>
    <t>isScheduled=true, scheduledAt = now + 2 hours, durationType=ONE_DAY</t>
  </si>
  <si>
    <t>Create posts of every category with validation</t>
  </si>
  <si>
    <t>durationType = FOREVER</t>
  </si>
  <si>
    <t>durationType = CUSTOM, expiresAt = now + 3 days</t>
  </si>
  <si>
    <t>adminEmail = ghost@fpt.edu.vn</t>
  </si>
  <si>
    <t>recipientType=SPECIFIC_USER, recipientUserId = null</t>
  </si>
  <si>
    <t>recipientType=SPECIFIC_USER, recipientUserId=404</t>
  </si>
  <si>
    <t>recipientType=USER_ROLE, recipientRole = "  " (blank)</t>
  </si>
  <si>
    <t>isScheduled=true, scheduledAt = null</t>
  </si>
  <si>
    <t>isScheduled=true, scheduledAt = now - 1 second (just in the past)</t>
  </si>
  <si>
    <t>durationType = CUSTOM, expiresAt = null</t>
  </si>
  <si>
    <t>isScheduled=true, scheduledAt = now + 1h, durationType = CUSTOM, expiresAt = scheduledAt (equal)</t>
  </si>
  <si>
    <t>recipientType=USER_ROLE, recipientRole=STUDENT</t>
  </si>
  <si>
    <t>recipientType=ALL_USERS</t>
  </si>
  <si>
    <t>adminEmail, notificationId = 7</t>
  </si>
  <si>
    <t>notificationId = 7</t>
  </si>
  <si>
    <t>notificationId = 404</t>
  </si>
  <si>
    <t>timeFilter = "THIS_WEEK", status = SENT, page = 0, size = 10</t>
  </si>
  <si>
    <t>STUDENT account exists</t>
  </si>
  <si>
    <t>timeFilter = "TODAY", page = -1, size = 0 (invalid paging values)</t>
  </si>
  <si>
    <t>ALUMNI account exists</t>
  </si>
  <si>
    <t>Account role is ADMIN</t>
  </si>
  <si>
    <t>Database save fails</t>
  </si>
  <si>
    <t>SystemNotificationResponse; saved with trimmed title/content, status SENT, sentAt set, expiresAt = sentAt + 1 day</t>
  </si>
  <si>
    <t>Validator applied to CreatePostRequest</t>
  </si>
  <si>
    <t>2 user Notifications (SYSTEM_BROADCAST) saved and pushed over WebSocket</t>
  </si>
  <si>
    <t>Role stored as "ALUMNI"; recipients loaded by role + ACTIVE status; expiresAt = sentAt + 7 days</t>
  </si>
  <si>
    <t>CreatePostRequest(type=GENERAL, content="  Hello alumni  ")</t>
  </si>
  <si>
    <t>Exactly one Notification saved for user 11</t>
  </si>
  <si>
    <t>type=RECRUITMENT with JobDto(title, company, salaryMin, salaryMax, applyUrl)</t>
  </si>
  <si>
    <t>Saved with status SCHEDULED, sentAt = null, expiresAt = scheduledAt + 1 day</t>
  </si>
  <si>
    <t>type=EVENT with EventDto(title, startTime = now+2d, endTime = now+2d+2h, capacity = 50)</t>
  </si>
  <si>
    <t>Nothing is dispatched yet</t>
  </si>
  <si>
    <t>mediaUrls = [" a.png ", "", "b.png"] (one blank entry)</t>
  </si>
  <si>
    <t>expiresAt = null (notification never expires)</t>
  </si>
  <si>
    <t>legacy imageUrl = "cover.png", mediaUrls = null</t>
  </si>
  <si>
    <t>expiresAt kept as provided</t>
  </si>
  <si>
    <t>type = "normal" (legacy alias)</t>
  </si>
  <si>
    <t>SystemNotification is saved as SENT but no user Notification is created (warning logged)</t>
  </si>
  <si>
    <t>CreatePostRequest(GENERAL)</t>
  </si>
  <si>
    <t>No exception is propagated; notifications are still persisted</t>
  </si>
  <si>
    <t>type = "FOO"</t>
  </si>
  <si>
    <t>Void; status = CANCELLED and saved</t>
  </si>
  <si>
    <t>type=EVENT, startTime = now - 1 day</t>
  </si>
  <si>
    <t>Void; status = ARCHIVED and archivedAt set</t>
  </si>
  <si>
    <t>Notification becomes SENT with sentAt and expiresAt = sentAt + 1 day; delivered to all active users</t>
  </si>
  <si>
    <t>type=EVENT, endTime earlier than startTime</t>
  </si>
  <si>
    <t>type=EVENT, capacity = 0 (just below the minimum of 1)</t>
  </si>
  <si>
    <t>Nothing is saved or dispatched</t>
  </si>
  <si>
    <t>type=EVENT, capacity = 1 (minimum accepted)</t>
  </si>
  <si>
    <t>Browse and filter the feed, open post detail</t>
  </si>
  <si>
    <t>Exception is caught per item; the second notification is still processed (SENT)</t>
  </si>
  <si>
    <t>content length = 5000 (maximum)</t>
  </si>
  <si>
    <t>Both notifications are marked EXPIRED and saved in one saveAll</t>
  </si>
  <si>
    <t>Edit own posts</t>
  </si>
  <si>
    <t>content length = 5001 (above maximum)</t>
  </si>
  <si>
    <t>saveAll is not called</t>
  </si>
  <si>
    <t>content = "   " (blank)</t>
  </si>
  <si>
    <t>PageResponse with 2 SystemNotificationResponse</t>
  </si>
  <si>
    <t>Paging is clamped to page 0 / size 1; empty PageResponse is returned without exception</t>
  </si>
  <si>
    <t>ResourceNotFoundException: Không tìm thấy tài khoản quản trị viên.</t>
  </si>
  <si>
    <t>BadRequestException: Vui lòng chọn người dùng nhận thông báo.</t>
  </si>
  <si>
    <t>PostResponse returned; Post saved ACTIVE with trimmed content, category GENERAL, 0 likes/comments/reposts</t>
  </si>
  <si>
    <t>ResourceNotFoundException: Không tìm thấy người dùng với ID: 404</t>
  </si>
  <si>
    <t>JobPosting saved with poster = author and linked through post.jobId = 80</t>
  </si>
  <si>
    <t>BadRequestException: Vui lòng chọn nhóm vai trò nhận thông báo.</t>
  </si>
  <si>
    <t>Event saved with organizer = author and linked through post.eventId = 70</t>
  </si>
  <si>
    <t>BadRequestException: Vui lòng chọn thời điểm hẹn giờ gửi.</t>
  </si>
  <si>
    <t>2 PostMedia attached, URLs trimmed, blank skipped; sortOrder = position in the list (0 and 2)</t>
  </si>
  <si>
    <t>BadRequestException: Thời điểm hẹn giờ gửi phải nằm ở tương lai.</t>
  </si>
  <si>
    <t>1 PostMedia created from imageUrl</t>
  </si>
  <si>
    <t>BadRequestException: Vui lòng chọn ngày và giờ hết hạn cụ thể khi chọn thời hạn tùy chỉnh.</t>
  </si>
  <si>
    <t>-</t>
  </si>
  <si>
    <t>Category mapped to GENERAL</t>
  </si>
  <si>
    <t>BadRequestException: Thời điểm hết hiệu lực (expiresAt) phải sau thời điểm gửi.</t>
  </si>
  <si>
    <t>No active post matches</t>
  </si>
  <si>
    <t>Event saved with capacity 1</t>
  </si>
  <si>
    <t>BadRequestException: Chỉ có thể hủy thông báo đang ở trạng thái hẹn giờ (SCHEDULED).</t>
  </si>
  <si>
    <t>Two candidate posts with identical stats; viewer follows the author of post 2</t>
  </si>
  <si>
    <t>ResourceNotFoundException: Không tìm thấy thông báo hệ thống ID: 404</t>
  </si>
  <si>
    <t>Post 1 is pinned (old), post 2 is newer and more engaging</t>
  </si>
  <si>
    <t>BadRequestException: Không thể lưu trữ thông báo đang hẹn giờ gửi. Vui lòng hủy lịch nếu không muốn phát hành.</t>
  </si>
  <si>
    <t>200 active posts exist</t>
  </si>
  <si>
    <t>ResourceNotFoundException: Không tìm thấy tài khoản người dùng</t>
  </si>
  <si>
    <t>Alumni owns ACTIVE general post 5</t>
  </si>
  <si>
    <t>Posts exist</t>
  </si>
  <si>
    <t>BadRequestException: Thông báo này đã được lưu trữ trong kho lưu trữ trước đó.</t>
  </si>
  <si>
    <t>Upcoming events exist: event 70 with its post 900</t>
  </si>
  <si>
    <t>ForbiddenException: Chỉ sinh viên và cựu sinh viên mới được đăng bài viết</t>
  </si>
  <si>
    <t>Post 5 belongs to the alumni; editor is a different student</t>
  </si>
  <si>
    <t>ACTIVE post 5 exists; viewer liked and saved it</t>
  </si>
  <si>
    <t>Post 5 is linked to a CANCELLED event</t>
  </si>
  <si>
    <t>BadRequestException: Loại bài viết không hợp lệ: FOO</t>
  </si>
  <si>
    <t>Event of post 5 ended yesterday</t>
  </si>
  <si>
    <t>Không có người nhận phù hợp cho thông báo hệ thống ID: 500</t>
  </si>
  <si>
    <t>BadRequestException: Thời gian bắt đầu sự kiện không thể ở trong quá khứ.</t>
  </si>
  <si>
    <t>Event of post 5 already has 10 attendees and is still upcoming</t>
  </si>
  <si>
    <t>Lỗi WebSocket khi gửi thông báo tới User ID ...</t>
  </si>
  <si>
    <t>Post 5 exists but status is HIDDEN</t>
  </si>
  <si>
    <t>Event of post 5 has 10 attendees and is upcoming</t>
  </si>
  <si>
    <t>BadRequestException: Thời gian kết thúc phải sau thời gian bắt đầu.</t>
  </si>
  <si>
    <t>Post 5 is an EVENT post that has no ended/cancelled event</t>
  </si>
  <si>
    <t>Lỗi khi phát hành thông báo hẹn giờ ID ...</t>
  </si>
  <si>
    <t>Alumni owns post 5 with one existing image</t>
  </si>
  <si>
    <t>BadRequestException: Sức chứa sự kiện phải lớn hơn hoặc bằng 1.</t>
  </si>
  <si>
    <t>page = -1</t>
  </si>
  <si>
    <t>size = 0 (below minimum of 1)</t>
  </si>
  <si>
    <t>RuntimeException: Lỗi hệ thống: Không thể tạo bài viết</t>
  </si>
  <si>
    <t>id = 5, EditPostRequest(content = "  Updated text  ", category = GENERAL)</t>
  </si>
  <si>
    <t>page=0, size=10, type=ALL, keyword=null</t>
  </si>
  <si>
    <t>ConstraintViolation: Nội dung bài viết không được vượt quá 5000 ký tự</t>
  </si>
  <si>
    <t>id = 5, EditPostRequest</t>
  </si>
  <si>
    <t>page=0, size=10 for a logged-in viewer</t>
  </si>
  <si>
    <t>EditPostRequest(event.capacity = 9) (one below the attendee count)</t>
  </si>
  <si>
    <t>ConstraintViolation: Nội dung bài viết không được để trống</t>
  </si>
  <si>
    <t>page = 15, size = 10 (first index = 150 = end of the smart-ranking window)</t>
  </si>
  <si>
    <t>EditPostRequest(event.capacity = 10) (equal to the attendee count)</t>
  </si>
  <si>
    <t>page = 14, size = 10 (first index = 140, still inside the smart window)</t>
  </si>
  <si>
    <t>EditPostRequest(category = GENERAL)</t>
  </si>
  <si>
    <t>keyword = "  Nguyễn Văn " (accented, spaces)</t>
  </si>
  <si>
    <t>type=EVENT, eventFilter="upcoming"</t>
  </si>
  <si>
    <t>EditPostRequest(mediaUrls = ["n1.png", "n2.png"])</t>
  </si>
  <si>
    <t>id = 5, isAuthenticated = true, viewerEmail</t>
  </si>
  <si>
    <t>PostResponse; content trimmed and saved</t>
  </si>
  <si>
    <t>Accepted: event capacity updated to 10</t>
  </si>
  <si>
    <t>Category changed to GENERAL and the event link (eventId) is cleared</t>
  </si>
  <si>
    <t>Existing media replaced by the 2 new images with sortOrder 0 and 1</t>
  </si>
  <si>
    <t>Empty PageResponse (totalElements=0, totalPages=0, last=true)</t>
  </si>
  <si>
    <t>Post of the followed author (id 2) is ranked before post 1 (+100 affinity score)</t>
  </si>
  <si>
    <t>ForbiddenException: Bạn chỉ được chỉnh sửa bài viết của chính mình</t>
  </si>
  <si>
    <t>Pinned post 1 is listed first regardless of score</t>
  </si>
  <si>
    <t>BadRequestException: Sự kiện đã bị hủy, không thể chỉnh sửa thông tin.</t>
  </si>
  <si>
    <t>Deep chronological feed is queried instead of smart ranking</t>
  </si>
  <si>
    <t>BadRequestException: Sự kiện đã kết thúc, không thể chỉnh sửa thông tin sự kiện.</t>
  </si>
  <si>
    <t>Smart ranking is used (findCandidatesForSmartFeed), not the chronological query</t>
  </si>
  <si>
    <t>Search patterns "%nguyễn văn%" and the accent-free "%nguyen van%" are passed to the repository</t>
  </si>
  <si>
    <t>BadRequestException: Sức chứa tối đa không thể nhỏ hơn số người đã đăng ký tham gia (10 người)...</t>
  </si>
  <si>
    <t>Events are loaded with findUpcomingEvents; the response keeps the order of events with their posts</t>
  </si>
  <si>
    <t>PostResponse built with liked = true and saved = true</t>
  </si>
  <si>
    <t>BadRequestException: Tham số page phải là số nguyên không âm</t>
  </si>
  <si>
    <t>BadRequestException: Tham số size phải là số nguyên dương</t>
  </si>
  <si>
    <t>ResourceNotFoundException: Bài viết này không còn khả dụng</t>
  </si>
  <si>
    <t>Like, unlike and report posts</t>
  </si>
  <si>
    <t>Comment, edit and delete comments</t>
  </si>
  <si>
    <t>Save posts and view saved posts</t>
  </si>
  <si>
    <t>Member has not liked ACTIVE post 5 (likeCount = 3)</t>
  </si>
  <si>
    <t>Member already liked post 5</t>
  </si>
  <si>
    <t>Post 5 is HIDDEN</t>
  </si>
  <si>
    <t>Member liked post 5 (likeCount = 3)</t>
  </si>
  <si>
    <t>Member liked post 5 but the cached likeCount is already 0</t>
  </si>
  <si>
    <t>RSVP to events, cancel RSVP and view attendees</t>
  </si>
  <si>
    <t>Member never liked post 5</t>
  </si>
  <si>
    <t>Member can view ACTIVE post 5</t>
  </si>
  <si>
    <t>Member (not the author) can see ACTIVE post 5</t>
  </si>
  <si>
    <t>Comment 20 is a reply of root comment 10 on the same post</t>
  </si>
  <si>
    <t>Member made 0 reports in the last 10 minutes</t>
  </si>
  <si>
    <t>The reporter is the author of post 5</t>
  </si>
  <si>
    <t>Member has not saved post 5</t>
  </si>
  <si>
    <t>Member already sent 5 reports within the last 10 minutes</t>
  </si>
  <si>
    <t>Parent comment id 404 does not exist</t>
  </si>
  <si>
    <t>Member sent 4 reports within the last 10 minutes (one below the limit)</t>
  </si>
  <si>
    <t>Member under the rate limit</t>
  </si>
  <si>
    <t>Parent comment 20 belongs to a different post (id 6)</t>
  </si>
  <si>
    <t>Member already saved post 5</t>
  </si>
  <si>
    <t>Validator applied to CreatePostReportRequest</t>
  </si>
  <si>
    <t>Member saved post 5</t>
  </si>
  <si>
    <t>Member has 2 saved ACTIVE posts</t>
  </si>
  <si>
    <t>Post 5 has 2 active comments</t>
  </si>
  <si>
    <t>email, postId = 5</t>
  </si>
  <si>
    <t>postId = 5, CreatePostReportRequest(reason = SPAM, description = "  link spam ")</t>
  </si>
  <si>
    <t>Post 5 exists</t>
  </si>
  <si>
    <t>email of the author, postId = 5</t>
  </si>
  <si>
    <t>Member owns ACTIVE comment 10 on post 5</t>
  </si>
  <si>
    <t>email, page = 0, size = 10</t>
  </si>
  <si>
    <t>postId = 5, reason = SPAM</t>
  </si>
  <si>
    <t>postId = 5, reason = SCAM_OR_FRAUD</t>
  </si>
  <si>
    <t>Comment 10 belongs to another user</t>
  </si>
  <si>
    <t>reason = OTHER, description = "   " (blank)</t>
  </si>
  <si>
    <t>Comment 10 belongs to post 6, but the URL uses post 5</t>
  </si>
  <si>
    <t>reason = "HATE" (not in ReportReason)</t>
  </si>
  <si>
    <t>postId = 5</t>
  </si>
  <si>
    <t>Comment 10 has status DELETED</t>
  </si>
  <si>
    <t>description length = 500 (maximum)</t>
  </si>
  <si>
    <t>Member owns root comment 10 with 2 ACTIVE replies</t>
  </si>
  <si>
    <t>description length = 501 (above maximum)</t>
  </si>
  <si>
    <t>SavePostResponse(saved = true); PostSave row created</t>
  </si>
  <si>
    <t>Member owns reply comment 11 (has a parent)</t>
  </si>
  <si>
    <t>Idempotent: SavePostResponse(saved = true), no duplicate row</t>
  </si>
  <si>
    <t>Post of the comment is HIDDEN</t>
  </si>
  <si>
    <t>SavePostResponse(saved = false); bookmark removed</t>
  </si>
  <si>
    <t>PageResponse with 2 PostResponse, each mapped with saved = true</t>
  </si>
  <si>
    <t>Validator applied to CreateCommentRequest</t>
  </si>
  <si>
    <t>LikeResponse(liked = true, likeCount = 4); PostLike saved and like counter incremented</t>
  </si>
  <si>
    <t>Idempotent: LikeResponse(liked = true) with unchanged count; nothing saved, no notification</t>
  </si>
  <si>
    <t>LikeResponse(liked = false, likeCount = 2); PostLike deleted and counter decremented</t>
  </si>
  <si>
    <t>CreateCommentRequest(content = "  Great post  ", parentId = null)</t>
  </si>
  <si>
    <t>likeCount never goes negative (stays 0)</t>
  </si>
  <si>
    <t>No-op: LikeResponse(liked = false) and no delete is executed</t>
  </si>
  <si>
    <t>CreateCommentRequest(parentId = 20)</t>
  </si>
  <si>
    <t>ReportResponse; Report saved with status PENDING, reason SPAM and trimmed description (post is NOT hidden automatically)</t>
  </si>
  <si>
    <t>CreateCommentRequest(parentId = 404)</t>
  </si>
  <si>
    <t>STUDENT is not registered</t>
  </si>
  <si>
    <t>Report accepted and saved</t>
  </si>
  <si>
    <t>postId = 5, CreateCommentRequest(parentId = 20)</t>
  </si>
  <si>
    <t>Event ACTIVE, upcoming, capacity 10, 3 attendees</t>
  </si>
  <si>
    <t>CreateCommentRequest(content)</t>
  </si>
  <si>
    <t>ForbiddenException: Chỉ sinh viên và cựu sinh viên mới được thích bài viết</t>
  </si>
  <si>
    <t>STUDENT previously cancelled (registration status CANCELLED)</t>
  </si>
  <si>
    <t>postId = 5, page = 0, size = 10, isAuthenticated = false</t>
  </si>
  <si>
    <t>ForbiddenException: Bạn không thể báo cáo bài viết của chính mình</t>
  </si>
  <si>
    <t>BadRequestException: Bạn đã gửi quá nhiều báo cáo. Vui lòng thử lại sau 10 phút</t>
  </si>
  <si>
    <t>STUDENT already REGISTERED</t>
  </si>
  <si>
    <t>size = 0</t>
  </si>
  <si>
    <t>BadRequestException: Vui lòng mô tả lý do báo cáo khác</t>
  </si>
  <si>
    <t>postId = 5, commentId = 10, UpdateCommentRequest(content = "  edited  ")</t>
  </si>
  <si>
    <t>BadRequestException: Vui lòng chọn lý do báo cáo</t>
  </si>
  <si>
    <t>Event status is CANCELLED</t>
  </si>
  <si>
    <t>postId = 5, commentId = 10</t>
  </si>
  <si>
    <t>ForbiddenException: Chỉ sinh viên và cựu sinh viên mới được báo cáo bài viết</t>
  </si>
  <si>
    <t>postId = 5, commentId = 11</t>
  </si>
  <si>
    <t>ConstraintViolation: Mô tả báo cáo không được vượt quá 500 ký tự</t>
  </si>
  <si>
    <t>Event started 1 second ago</t>
  </si>
  <si>
    <t>content length = 2000 (maximum)</t>
  </si>
  <si>
    <t>content length = 2001 (above maximum)</t>
  </si>
  <si>
    <t>Like notification sent to the author</t>
  </si>
  <si>
    <t>Capacity 10 and attendeeCount = 10 (full)</t>
  </si>
  <si>
    <t>Capacity 10 and attendeeCount = 9 (one seat left)</t>
  </si>
  <si>
    <t>Event capacity = null (unlimited) with 500 attendees</t>
  </si>
  <si>
    <t>CommentResponse; Comment saved ACTIVE with trimmed content and no parent; comment counter incremented</t>
  </si>
  <si>
    <t>Counter update affects 0 rows because another user took the last seat concurrently</t>
  </si>
  <si>
    <t>New comment is attached to the root comment 10 (replies are flattened to one level)</t>
  </si>
  <si>
    <t>PageResponse with 2 CommentResponse (guest can read comments)</t>
  </si>
  <si>
    <t>CommentResponse; content trimmed and saved</t>
  </si>
  <si>
    <t>Void; comment deleted and the comment counter decremented by 3 (root + 2 replies)</t>
  </si>
  <si>
    <t>Counter decremented by exactly 1 (replies of a reply are not counted)</t>
  </si>
  <si>
    <t>Event id 404 does not exist</t>
  </si>
  <si>
    <t>STUDENT is REGISTERED; event upcoming with 3 attendees</t>
  </si>
  <si>
    <t>ResourceNotFoundException: Bình luận cần trả lời không còn khả dụng</t>
  </si>
  <si>
    <t>ForbiddenException: Chỉ sinh viên và cựu sinh viên mới được bình luận</t>
  </si>
  <si>
    <t>Event is CANCELLED</t>
  </si>
  <si>
    <t>STUDENT never registered</t>
  </si>
  <si>
    <t>ForbiddenException: Bạn chỉ được chỉnh sửa bình luận của chính mình</t>
  </si>
  <si>
    <t>Registration already CANCELLED</t>
  </si>
  <si>
    <t>ResourceNotFoundException: Bình luận này không còn khả dụng</t>
  </si>
  <si>
    <t>ForbiddenException: Bạn chỉ được xóa bình luận của chính mình</t>
  </si>
  <si>
    <t>Registration REGISTERED but cached attendeeCount = 0</t>
  </si>
  <si>
    <t>ConstraintViolation: Nội dung bình luận không được vượt quá 2000 ký tự</t>
  </si>
  <si>
    <t>STUDENT is REGISTERED for event 70</t>
  </si>
  <si>
    <t>Comment notification sent to the post author</t>
  </si>
  <si>
    <t>Guest visitor (email = null)</t>
  </si>
  <si>
    <t>2 REGISTERED attendees: alumni with headline, student without headline but with major</t>
  </si>
  <si>
    <t>Attendees: 1 ALUMNI and 1 STUDENT</t>
  </si>
  <si>
    <t>Attendees named "Nguyen Van A" and "Tran Thi B"</t>
  </si>
  <si>
    <t>Attendee has no profile row</t>
  </si>
  <si>
    <t>Event is CANCELLED and has both REGISTERED and CANCELLED registrations</t>
  </si>
  <si>
    <t>Event has no registration</t>
  </si>
  <si>
    <t>eventId = 70, email</t>
  </si>
  <si>
    <t>eventId = 70, email of admin</t>
  </si>
  <si>
    <t>eventId = 404, email</t>
  </si>
  <si>
    <t>eventId = 70, email = null</t>
  </si>
  <si>
    <t>eventId = 404</t>
  </si>
  <si>
    <t>eventId = 70</t>
  </si>
  <si>
    <t>eventId = 70, role = "alumni", search = null</t>
  </si>
  <si>
    <t>eventId = 70, role = "ALL"</t>
  </si>
  <si>
    <t>eventId = 70, search = "  NGUYEN "</t>
  </si>
  <si>
    <t>EventRegistrationResponse(registered = true, attendeeCount = 4, capacity = 10, message "Đăng ký tham gia sự kiện thành công!")</t>
  </si>
  <si>
    <t>EventRegistration saved with status REGISTERED; attendee counter incremented atomically</t>
  </si>
  <si>
    <t>Existing registration reused: status back to REGISTERED, no second row is created</t>
  </si>
  <si>
    <t>Registration accepted; attendeeCount in the response = 10</t>
  </si>
  <si>
    <t>Registration accepted; capacity in response is null</t>
  </si>
  <si>
    <t>EventRegistrationResponse(registered = false, attendeeCount = 2, message "Hủy đăng ký tham gia sự kiện thành công!")</t>
  </si>
  <si>
    <t>Registration status = CANCELLED, attendee counter decremented</t>
  </si>
  <si>
    <t>Returned attendeeCount never negative (0)</t>
  </si>
  <si>
    <t>registered = true, attendeeCount = 3, capacity = 10</t>
  </si>
  <si>
    <t>registered = false with attendee counters (no user lookup)</t>
  </si>
  <si>
    <t>List of 2 EventAttendeeResponse ordered by registration time; student headline falls back to the major name</t>
  </si>
  <si>
    <t>Only the ALUMNI attendee is returned (role filter is case-insensitive)</t>
  </si>
  <si>
    <t>"ALL" means no role filter: both attendees returned</t>
  </si>
  <si>
    <t>Case-insensitive, trimmed search keeps only "Nguyen Van A"</t>
  </si>
  <si>
    <t>fullName falls back to the e-mail address, headline empty</t>
  </si>
  <si>
    <t>All registrations are listed (findByEventIdOrderByCreatedAtAsc) so the organiser still sees who had registered</t>
  </si>
  <si>
    <t>Empty list without querying profiles</t>
  </si>
  <si>
    <t>ConflictException: Bạn đã đăng ký tham gia sự kiện này rồi.</t>
  </si>
  <si>
    <t>BadRequestException: Sự kiện này đã bị hủy, không thể đăng ký.</t>
  </si>
  <si>
    <t>BadRequestException: Sự kiện đã bắt đầu, không thể đăng ký tham gia.</t>
  </si>
  <si>
    <t>BadRequestException: Sự kiện đã đủ số lượng người tham gia.</t>
  </si>
  <si>
    <t>ForbiddenException: Chỉ sinh viên và cựu sinh viên mới được đăng ký tham gia sự kiện</t>
  </si>
  <si>
    <t>ResourceNotFoundException: Không tìm thấy sự kiện</t>
  </si>
  <si>
    <t>BadRequestException: Sự kiện này đã bị hủy.</t>
  </si>
  <si>
    <t>BadRequestException: Sự kiện đã bắt đầu hoặc đã kết thúc, không thể hủy đăng ký.</t>
  </si>
  <si>
    <t>BadRequestException: Bạn chưa đăng ký tham gia sự kiện này.</t>
  </si>
  <si>
    <t>ForbiddenException: Chỉ sinh viên và cựu sinh viên mới được hủy đăng ký tham gia sự kiện</t>
  </si>
  <si>
    <t>Cancel events and view attended-event history</t>
  </si>
  <si>
    <t>The ALUMNI organiser owns upcoming ACTIVE event 70 with registrations</t>
  </si>
  <si>
    <t>Logged-in user is an ADMIN who is not the organiser</t>
  </si>
  <si>
    <t>Logged-in user is a STUDENT</t>
  </si>
  <si>
    <t>Another ALUMNI (not the organiser) tries to cancel event 70</t>
  </si>
  <si>
    <t>Event 70 is already CANCELLED</t>
  </si>
  <si>
    <t>View notifications, unread counter and mark as read</t>
  </si>
  <si>
    <t>Registered event starts in 2 days</t>
  </si>
  <si>
    <t>Registered event ended yesterday</t>
  </si>
  <si>
    <t>Registered event started 1 hour ago and ends in 1 hour</t>
  </si>
  <si>
    <t>The event itself is CANCELLED</t>
  </si>
  <si>
    <t>Event ACTIVE but the member cancelled the registration</t>
  </si>
  <si>
    <t>Member never joined any event</t>
  </si>
  <si>
    <t>The event has an ACTIVE post with 2 images</t>
  </si>
  <si>
    <t>eventId = 70, email of the organiser</t>
  </si>
  <si>
    <t>Conversation inbox, search and message requests</t>
  </si>
  <si>
    <t>eventId = 70, email of student</t>
  </si>
  <si>
    <t>eventId = 70, email of another alumni</t>
  </si>
  <si>
    <t>eventId = 70, organiser email</t>
  </si>
  <si>
    <t>eventId = 404, organiser email</t>
  </si>
  <si>
    <t>eventId = 70, email = ghost@fpt.edu.vn</t>
  </si>
  <si>
    <t>email, page = 0, size = 10, filter = "all"</t>
  </si>
  <si>
    <t>email, filter = "all"</t>
  </si>
  <si>
    <t>size = 51 (above the maximum of 50)</t>
  </si>
  <si>
    <t>User has 2 valid (non-expired) notifications</t>
  </si>
  <si>
    <t>size = 50 (maximum accepted)</t>
  </si>
  <si>
    <t>page = -3</t>
  </si>
  <si>
    <t>filter = "banana" (unsupported)</t>
  </si>
  <si>
    <t>filter = "  PAST " (upper-case with spaces)</t>
  </si>
  <si>
    <t>email of admin</t>
  </si>
  <si>
    <t>User has 7 valid unread notifications</t>
  </si>
  <si>
    <t>Notification 9 belongs to the user</t>
  </si>
  <si>
    <t>Notification 404 does not exist or belongs to someone else</t>
  </si>
  <si>
    <t>EventCancelResponse(status = CANCELLED, message "Hủy sự kiện thành công!")</t>
  </si>
  <si>
    <t>User has several unread notifications</t>
  </si>
  <si>
    <t>Event status = CANCELLED; all registrations are cancelled (cancelAllByEventId)</t>
  </si>
  <si>
    <t>Accepted direct conversation with last message "Hello" and 3 unread messages</t>
  </si>
  <si>
    <t>Admin may cancel any event: status = CANCELLED</t>
  </si>
  <si>
    <t>No unread like-notification exists for post 5</t>
  </si>
  <si>
    <t>attendanceState = UPCOMING</t>
  </si>
  <si>
    <t>Conversation not yet accepted by the current user (message request from a stranger)</t>
  </si>
  <si>
    <t>An unread like-notification already exists for post 5 with senderCount = 1</t>
  </si>
  <si>
    <t>Same non-accepted conversation</t>
  </si>
  <si>
    <t>attendanceState = PAST</t>
  </si>
  <si>
    <t>Accepted conversation has no message yet</t>
  </si>
  <si>
    <t>The liker is the author of the post</t>
  </si>
  <si>
    <t>attendanceState = ONGOING</t>
  </si>
  <si>
    <t>User has no conversation at all</t>
  </si>
  <si>
    <t>attendanceState = EVENT_CANCELLED (takes priority over the registration status)</t>
  </si>
  <si>
    <t>Last message has no text, only an IMAGE attachment</t>
  </si>
  <si>
    <t>attendanceState = REGISTRATION_CANCELLED</t>
  </si>
  <si>
    <t>Unread like-notification with senderCount = 1</t>
  </si>
  <si>
    <t>Last message has only a VIDEO attachment</t>
  </si>
  <si>
    <t>Empty PageResponse (content = [], last = true); organiser/post lookups skipped</t>
  </si>
  <si>
    <t>Last message has only a FILE attachment</t>
  </si>
  <si>
    <t>Unread like-notification with senderCount = 2</t>
  </si>
  <si>
    <t>Page size falls back to the default 10</t>
  </si>
  <si>
    <t>A direct conversation between user 1 and 2 already exists (directKey "1_2")</t>
  </si>
  <si>
    <t>Page size is kept at 50</t>
  </si>
  <si>
    <t>No conversation between the two users yet</t>
  </si>
  <si>
    <t>Negative page index is clamped to 0</t>
  </si>
  <si>
    <t>Unread like-notification with senderCount = 4</t>
  </si>
  <si>
    <t>Filter normalised to "all" before querying the repository</t>
  </si>
  <si>
    <t>Another member comments "Great post" on the author's post 5</t>
  </si>
  <si>
    <t>Filter normalised to "past"</t>
  </si>
  <si>
    <t>Comment text length = 60 (maximum shown without truncation)</t>
  </si>
  <si>
    <t>Current user id 5, target id 3</t>
  </si>
  <si>
    <t>EventHistoryResponse carries postId and coverUrl = first image of the post, organizer name from profile</t>
  </si>
  <si>
    <t>Comment text length = 61 (just above the limit)</t>
  </si>
  <si>
    <t>Pending message request in conversation 10</t>
  </si>
  <si>
    <t>User is not a participant of conversation 10</t>
  </si>
  <si>
    <t>The commenter is the author of the post</t>
  </si>
  <si>
    <t>ForbiddenException: Chỉ cựu sinh viên (người tổ chức) mới có quyền hủy sự kiện.</t>
  </si>
  <si>
    <t>Participant of direct conversation 10</t>
  </si>
  <si>
    <t>ForbiddenException: Bạn không có quyền hủy sự kiện này vì không phải là người tổ chức.</t>
  </si>
  <si>
    <t>Actor follows author</t>
  </si>
  <si>
    <t>Conversation 99 does not exist</t>
  </si>
  <si>
    <t>BadRequestException: Sự kiện này đã bị hủy trước đó.</t>
  </si>
  <si>
    <t>Native search returns 2 users (one followed, one with isFollowing = null)</t>
  </si>
  <si>
    <t>Follower and following are the same user</t>
  </si>
  <si>
    <t>BadRequestException: Sự kiện đã kết thúc hoặc đang diễn ra, không thể hủy.</t>
  </si>
  <si>
    <t>email, tab = "primary"</t>
  </si>
  <si>
    <t>Question title has 60 characters</t>
  </si>
  <si>
    <t>email, tab = "requests"</t>
  </si>
  <si>
    <t>The answerer is the author of the question</t>
  </si>
  <si>
    <t>email, tab = null (defaults to primary)</t>
  </si>
  <si>
    <t>ForbiddenException: Chỉ sinh viên và cựu sinh viên mới có lịch sử tham gia sự kiện</t>
  </si>
  <si>
    <t>Admin hid post 5</t>
  </si>
  <si>
    <t>email, targetUserId = 2</t>
  </si>
  <si>
    <t>targetUserId = own id (1)</t>
  </si>
  <si>
    <t>New user without welcome notification</t>
  </si>
  <si>
    <t>targetUserId = 404</t>
  </si>
  <si>
    <t>An unread WELCOME notification already exists</t>
  </si>
  <si>
    <t>targetUserId = 3 (smaller than own id)</t>
  </si>
  <si>
    <t>WebSocket broker throws while pushing</t>
  </si>
  <si>
    <t>email, conversationId = 10</t>
  </si>
  <si>
    <t>Cron tick every minute</t>
  </si>
  <si>
    <t>email, conversationId = 99</t>
  </si>
  <si>
    <t>executeScheduledNotifications() throws</t>
  </si>
  <si>
    <t>email, keyword = "nguyen"</t>
  </si>
  <si>
    <t>keyword = "   " (blank)</t>
  </si>
  <si>
    <t>keyword = "Nguyễn" (accented)</t>
  </si>
  <si>
    <t>page = -5, size = 0 (invalid paging values)</t>
  </si>
  <si>
    <t>1 ConversationResponse: lastMessage = "Hello", unreadCount = 3, isAccepted = true</t>
  </si>
  <si>
    <t>email, notificationId = 9</t>
  </si>
  <si>
    <t>The request conversation is listed in the requests tab</t>
  </si>
  <si>
    <t>email, notificationId = 404</t>
  </si>
  <si>
    <t>Request is hidden from the primary inbox (empty list)</t>
  </si>
  <si>
    <t>liker (full name "Nguyen Actor"), post 5 of author 1</t>
  </si>
  <si>
    <t>Conversation without messages is not listed</t>
  </si>
  <si>
    <t>second liker, post 5</t>
  </si>
  <si>
    <t>Empty list; no further repository queries</t>
  </si>
  <si>
    <t>liker = author, post 5</t>
  </si>
  <si>
    <t>Preview text = "[Hình ảnh]"</t>
  </si>
  <si>
    <t>liker = null</t>
  </si>
  <si>
    <t>Preview text = "[Video]"</t>
  </si>
  <si>
    <t>unliker, post 5</t>
  </si>
  <si>
    <t>Preview text = "[Tệp đính kèm]"</t>
  </si>
  <si>
    <t>Existing conversation returned with last message preview and the user's accepted flag</t>
  </si>
  <si>
    <t>commenter, comment, post</t>
  </si>
  <si>
    <t>Draft ConversationResponse (id = null, recipientId = 2, recipientName from profile); nothing is saved in the database</t>
  </si>
  <si>
    <t>commenter, comment (60 characters), post</t>
  </si>
  <si>
    <t>Direct key is built as min_max = "3_5" regardless of who opens the chat</t>
  </si>
  <si>
    <t>commenter, comment (61 characters), post</t>
  </si>
  <si>
    <t>Void; participant.isAccepted = true and saved (request moves to the primary inbox)</t>
  </si>
  <si>
    <t>Void; the whole direct conversation (and its messages) is deleted</t>
  </si>
  <si>
    <t>commenter = author</t>
  </si>
  <si>
    <t>2 ChatUserResponse; null isFollowing is mapped to false</t>
  </si>
  <si>
    <t>Keyword passed to the query is null (no keyword filter), result size limit = 25</t>
  </si>
  <si>
    <t>follower = actor, following = author</t>
  </si>
  <si>
    <t>Accent-free patterns "nguyen%" and "% nguyen%" plus e-mail pattern "nguyễn%" are used</t>
  </si>
  <si>
    <t>follower = following = author</t>
  </si>
  <si>
    <t>BadRequestException: Bạn không thể tạo cuộc trò chuyện với chính mình.</t>
  </si>
  <si>
    <t>answerer = actor, question of author, answer</t>
  </si>
  <si>
    <t>ResourceNotFoundException: Không tìm thấy người dùng với mã: 404</t>
  </si>
  <si>
    <t>ResourceNotFoundException: Bạn không phải là thành viên của cuộc hội thoại này.</t>
  </si>
  <si>
    <t>answerer = author</t>
  </si>
  <si>
    <t>ForbiddenException: Bạn không có quyền xóa cuộc hội thoại này.</t>
  </si>
  <si>
    <t>post 5 of author 1</t>
  </si>
  <si>
    <t>ResourceNotFoundException: Không tìm thấy cuộc hội thoại.</t>
  </si>
  <si>
    <t>user</t>
  </si>
  <si>
    <t>PageResponse with 2 NotificationResponse; only non-expired notifications are queried (expiresAt &gt;= now)</t>
  </si>
  <si>
    <t>Paging clamped to page 0 / size 1; no exception</t>
  </si>
  <si>
    <t>UnreadNotificationCountResponse(unreadCount = 7)</t>
  </si>
  <si>
    <t>Void; one row updated (markAsReadByIdAndRecipientId returns 1)</t>
  </si>
  <si>
    <t>Void; markAllAsReadByRecipientId executed for the user</t>
  </si>
  <si>
    <t>New POST_LIKE notification: "Nguyen Actor đã thích bài viết của bạn.", senderCount 1, unread</t>
  </si>
  <si>
    <t>Pushed to the author through WebSocket</t>
  </si>
  <si>
    <t>Notifications are grouped: same row updated with senderCount = 2 and content "Nguyen Actor và 1 người khác đã thích bài viết của bạn."</t>
  </si>
  <si>
    <t>No notification is created and nothing is pushed</t>
  </si>
  <si>
    <t>No-op without exception</t>
  </si>
  <si>
    <t>The notification row is deleted (nobody likes the post any more)</t>
  </si>
  <si>
    <t>senderCount = 1 and content "Một thành viên đã thích bài viết của bạn."</t>
  </si>
  <si>
    <t>senderCount = 3 and content "Một thành viên và 2 người khác đã thích bài viết của bạn."</t>
  </si>
  <si>
    <t>POST_COMMENT notification: content contains the commenter name and the comment text, targetId "5#comment-8"</t>
  </si>
  <si>
    <t>Whole 60-character text is quoted, no ellipsis</t>
  </si>
  <si>
    <t>Text truncated to 57 characters followed by "..."</t>
  </si>
  <si>
    <t>No notification created</t>
  </si>
  <si>
    <t>USER_FOLLOW notification "Nguyen Actor đã bắt đầu theo dõi bạn." with targetType USER, targetId = actor id; pushed in real time</t>
  </si>
  <si>
    <t>FORUM_ANSWER notification; the title is truncated to 47 characters + "..." (limit 50)</t>
  </si>
  <si>
    <t>REPORT_RESOLVED notification sent by the system (sender = null) with the community-standard violation message</t>
  </si>
  <si>
    <t>WELCOME notification (SYSTEM / WELCOME) created and pushed</t>
  </si>
  <si>
    <t>No duplicate welcome notification is created</t>
  </si>
  <si>
    <t>Send direct messages with attachments and view history</t>
  </si>
  <si>
    <t>No exception reaches the caller; the notification is still persisted</t>
  </si>
  <si>
    <t>executeScheduledNotifications() and expireOverdueNotifications() are both invoked</t>
  </si>
  <si>
    <t>Failure is logged and expireOverdueNotifications() still runs</t>
  </si>
  <si>
    <t>ResourceNotFoundException: Không tìm thấy người dùng với email: ghost@fpt.edu.vn</t>
  </si>
  <si>
    <t>ResourceNotFoundException: Không tìm thấy thông báo hoặc bạn không có quyền thao tác.</t>
  </si>
  <si>
    <t>Lỗi khi đẩy thông báo WebSocket tới User ID 1: ...</t>
  </si>
  <si>
    <t>Lỗi khi chạy cron job phát thông báo hẹn giờ: ...</t>
  </si>
  <si>
    <t>Current user is a participant of conversation 10 which holds 2 messages</t>
  </si>
  <si>
    <t>Current user is not a participant of conversation 10</t>
  </si>
  <si>
    <t>Sender is a participant of conversation 10 with Bob</t>
  </si>
  <si>
    <t>No conversation with Bob yet</t>
  </si>
  <si>
    <t>Bob already follows the sender</t>
  </si>
  <si>
    <t>Bob does NOT follow the sender (stranger)</t>
  </si>
  <si>
    <t>Recipient 404 does not exist</t>
  </si>
  <si>
    <t>Conversation 10 exists but the sender is not a participant</t>
  </si>
  <si>
    <t>Sender is a participant</t>
  </si>
  <si>
    <t>The sender's participant is still a pending request (isAccepted = false)</t>
  </si>
  <si>
    <t>WebSocket push to the recipient throws</t>
  </si>
  <si>
    <t>Participant of conversation 10; latest message exists</t>
  </si>
  <si>
    <t>email, conversationId = 10, Pageable(0, 20)</t>
  </si>
  <si>
    <t>SendMessageRequest(conversationId = 10, content = "  Hi Bob  ")</t>
  </si>
  <si>
    <t>SendMessageRequest(recipientId = 2, content = "Hello")</t>
  </si>
  <si>
    <t>SendMessageRequest(content = null, attachments = null)</t>
  </si>
  <si>
    <t>SendMessageRequest(content = "   " only spaces, attachments = [])</t>
  </si>
  <si>
    <t>SendMessageRequest(content = "Hi", conversationId = null, recipientId = null)</t>
  </si>
  <si>
    <t>SendMessageRequest(recipientId = own id 1)</t>
  </si>
  <si>
    <t>SendMessageRequest(recipientId = 404)</t>
  </si>
  <si>
    <t>SendMessageRequest(conversationId = 99)</t>
  </si>
  <si>
    <t>SendMessageRequest(conversationId = 10)</t>
  </si>
  <si>
    <t>content = null, attachments = [IMAGE a.png, IMAGE b.png]</t>
  </si>
  <si>
    <t>content = null, attachments = [IMAGE a.png, FILE doc.pdf]</t>
  </si>
  <si>
    <t>SendMessageRequest(conversationId = 10, content = "Thanks")</t>
  </si>
  <si>
    <t>SendMessageRequest(conversationId = 10, content = "Hi")</t>
  </si>
  <si>
    <t>View and filter the alumni map, open profiles</t>
  </si>
  <si>
    <t>PageResponse with 2 MessageResponse (newest first)</t>
  </si>
  <si>
    <t>MessageResponse; Message saved as TEXT with trimmed content, conversation lastMessageAt updated</t>
  </si>
  <si>
    <t>WebSocket push sent to Bob only</t>
  </si>
  <si>
    <t>New DIRECT conversation (directKey "1_2") with 2 participants; Bob's participant isAccepted = true</t>
  </si>
  <si>
    <t>Bob's participant isAccepted = false: the chat appears in Bob's message requests; sender's participant is accepted</t>
  </si>
  <si>
    <t>Message type IMAGE (all attachments are images); 2 attachments saved</t>
  </si>
  <si>
    <t>Message type FILE (not every attachment is an image)</t>
  </si>
  <si>
    <t>Replying auto-accepts the conversation: sender participant isAccepted = true, lastReadMessage = the new message</t>
  </si>
  <si>
    <t>No exception for the sender; the message remains stored</t>
  </si>
  <si>
    <t>Void; participant.lastReadMessage = latest message and saved (unread counter resets)</t>
  </si>
  <si>
    <t>Guest or member opens the map without any filter</t>
  </si>
  <si>
    <t>ForbiddenException: Bạn không có quyền xem tin nhắn trong cuộc hội thoại này.</t>
  </si>
  <si>
    <t>One alumnus with valid coordinates (21.0285, 105.8542) and primary job Software Engineer @ FPT Software</t>
  </si>
  <si>
    <t>BadRequestException: Tin nhắn phải có nội dung văn bản hoặc ít nhất một tệp đính kèm.</t>
  </si>
  <si>
    <t>Three alumni are returned by the repository</t>
  </si>
  <si>
    <t>No alumnus matches the filter</t>
  </si>
  <si>
    <t>BadRequestException: Vui lòng cung cấp mã cuộc hội thoại hoặc mã người nhận.</t>
  </si>
  <si>
    <t>BadRequestException: Bạn không thể gửi tin nhắn cho chính mình.</t>
  </si>
  <si>
    <t>search = null, title = null, company = null, location = null, cohort = null, majorId = null</t>
  </si>
  <si>
    <t>ResourceNotFoundException: Không tìm thấy người nhận với mã: 404</t>
  </si>
  <si>
    <t>search = " Nguyen ", title = "Engineer", company = "FPT", location = "Ha Noi", cohort = 2018, majorId = 1</t>
  </si>
  <si>
    <t>ResourceNotFoundException: Không tìm thấy cuộc hội thoại với mã: 99</t>
  </si>
  <si>
    <t>search = "   ", title = "", company = "  ", location = "" (blank strings)</t>
  </si>
  <si>
    <t>no filter</t>
  </si>
  <si>
    <t>ForbiddenException: Bạn không phải là thành viên của cuộc hội thoại này.</t>
  </si>
  <si>
    <t>company = "No Such Company"</t>
  </si>
  <si>
    <t>ForbiddenException: Bạn không phải thành viên của cuộc hội thoại này.</t>
  </si>
  <si>
    <t>title = "  \t " (only whitespace characters)</t>
  </si>
  <si>
    <t>WebSocket push failed for User 2: ...</t>
  </si>
  <si>
    <t>Repository is queried with all-null filters; empty list returned when nobody has coordinates</t>
  </si>
  <si>
    <t>Text filters are trimmed, lower-cased and wrapped as "%value%"; cohort and majorId are passed unchanged</t>
  </si>
  <si>
    <t>Blank text filters are converted to null (no filtering)</t>
  </si>
  <si>
    <t>1 AlumniMapResponse with fullName, title, company, latitude, longitude, verifiedStatus = true, cohort 2018 and profileIdentifier = userId as text</t>
  </si>
  <si>
    <t>3 markers in the same order as the repository result</t>
  </si>
  <si>
    <t>Empty list (the UI shows the empty state), no exception</t>
  </si>
  <si>
    <t>Treated as blank: title pattern = null</t>
  </si>
  <si>
    <t>Explore and filter alumni career paths</t>
  </si>
  <si>
    <t>2 active alumni (ids 5, 3) match; repository returns profiles in a different order</t>
  </si>
  <si>
    <t>Alumnus 5 has a primary experience "Tech Lead @ FPT Software"</t>
  </si>
  <si>
    <t>Alumnus has no primary experience but two current ones started in 2020 and 2023</t>
  </si>
  <si>
    <t>Alumnus has only ended experiences (no current, no primary)</t>
  </si>
  <si>
    <t>Two consecutive experiences with the same title and company (case-insensitive)</t>
  </si>
  <si>
    <t>Alumnus has 5 distinct career steps</t>
  </si>
  <si>
    <t>Matched id 9 has no profile row</t>
  </si>
  <si>
    <t>Alumnus 5 is ACTIVE with 2 experiences</t>
  </si>
  <si>
    <t>No profile with id 404</t>
  </si>
  <si>
    <t>User 6 is an ACTIVE STUDENT (not an alumnus)</t>
  </si>
  <si>
    <t>Alumnus 7 account is LOCKED</t>
  </si>
  <si>
    <t>ACTIVE alumnus who has not entered any experience</t>
  </si>
  <si>
    <t>search = null, ..., page = 0, size = 10</t>
  </si>
  <si>
    <t>page = 0, size = 10</t>
  </si>
  <si>
    <t>size = 51 (above the maximum page size of 50)</t>
  </si>
  <si>
    <t>size = 50 (the maximum)</t>
  </si>
  <si>
    <t>userId = 5</t>
  </si>
  <si>
    <t>userId = 404</t>
  </si>
  <si>
    <t>userId = 6</t>
  </si>
  <si>
    <t>userId = 7</t>
  </si>
  <si>
    <t>PageResponse with 2 summaries in the order of the matched ids [5, 3], not the order of the profile query</t>
  </si>
  <si>
    <t>currentTitle = Tech Lead, currentCompany = FPT Software, currentLocation = Hanoi, totalExperiences = 2</t>
  </si>
  <si>
    <t>Fallback: the most recently started current experience (2023) is the current position</t>
  </si>
  <si>
    <t>currentTitle / currentCompany stay null</t>
  </si>
  <si>
    <t>Consecutive duplicates are merged: career preview contains 2 steps for 3 experiences</t>
  </si>
  <si>
    <t>careerPreview is limited to 4 steps while totalExperiences = 5</t>
  </si>
  <si>
    <t>Page size is capped to 50 in the repository call</t>
  </si>
  <si>
    <t>Page size stays 50</t>
  </si>
  <si>
    <t>Empty PageResponse; profile and experience queries are skipped</t>
  </si>
  <si>
    <t>The id without profile is skipped; remaining alumni are returned</t>
  </si>
  <si>
    <t>CareerPathDetailResponse(userId = 5, fullName, experiences = 2 items)</t>
  </si>
  <si>
    <t>CareerPathDetailResponse with an empty experiences list (UI shows the empty state)</t>
  </si>
  <si>
    <t>ResourceNotFoundException: Không tìm thấy hồ sơ người dùng với ID: 404</t>
  </si>
  <si>
    <t>BadRequestException: Người dùng này không hoạt động hoặc không phải là cựu sinh viên</t>
  </si>
  <si>
    <t>View, search and filter forum questions</t>
  </si>
  <si>
    <t>Ask, edit and delete forum questions</t>
  </si>
  <si>
    <t>Share, delete and search posts</t>
  </si>
  <si>
    <t>2 ACTIVE questions exist; guest visitor</t>
  </si>
  <si>
    <t>Topic 1 and major 2 exist</t>
  </si>
  <si>
    <t>Questions exist</t>
  </si>
  <si>
    <t>Logged-in viewer already voted question 2 but not question 1</t>
  </si>
  <si>
    <t>Topic 99 does not exist</t>
  </si>
  <si>
    <t>Question 1 has two images</t>
  </si>
  <si>
    <t>No question matches</t>
  </si>
  <si>
    <t>Major 99 does not exist</t>
  </si>
  <si>
    <t>Alumni owns ACTIVE post 5 (no event)</t>
  </si>
  <si>
    <t>ACTIVE question 5 with 1 image</t>
  </si>
  <si>
    <t>Question 404 does not exist or is not ACTIVE</t>
  </si>
  <si>
    <t>Post 5 is an EVENT post linked to event 70 with registrations</t>
  </si>
  <si>
    <t>Viewer voted question 5</t>
  </si>
  <si>
    <t>Post 5 belongs to another user</t>
  </si>
  <si>
    <t>Two forum topics exist</t>
  </si>
  <si>
    <t>Validator applied to CreateQuestionRequest</t>
  </si>
  <si>
    <t>The author owns ACTIVE question 7</t>
  </si>
  <si>
    <t>Post 404 does not exist</t>
  </si>
  <si>
    <t>Post 5 was already DELETED</t>
  </si>
  <si>
    <t>page=0, size=10, sort=null, keyword=null, topicIds=null, majorIds=null, viewerEmail=null</t>
  </si>
  <si>
    <t>Question 7 belongs to a different user</t>
  </si>
  <si>
    <t>Feed contains posts</t>
  </si>
  <si>
    <t>keyword = "  Java  "</t>
  </si>
  <si>
    <t>keyword = "50%_off\" containing the LIKE wildcards % _ and the escape character \</t>
  </si>
  <si>
    <t>No post matches the keyword</t>
  </si>
  <si>
    <t>Owner updates with topicId 99 which does not exist</t>
  </si>
  <si>
    <t>keyword length = 250 (maximum)</t>
  </si>
  <si>
    <t>User 1 has one post</t>
  </si>
  <si>
    <t>keyword length = 251 (above maximum)</t>
  </si>
  <si>
    <t>Question 404 is not found / already deleted</t>
  </si>
  <si>
    <t>Anonymous viewer</t>
  </si>
  <si>
    <t>User 1 has posts</t>
  </si>
  <si>
    <t>CreateQuestionRequest(title = "  How to prepare?  ", body = "  Details  ", no topic/major/images)</t>
  </si>
  <si>
    <t>topicIds = [1, 2], majorIds = [3]</t>
  </si>
  <si>
    <t>Viewer logged in and saved post 5</t>
  </si>
  <si>
    <t>sort = "votes,answers"</t>
  </si>
  <si>
    <t>CreateQuestionRequest(topicId = 1, majorId = 2, imageUrls = [a.png, b.png])</t>
  </si>
  <si>
    <t>sort = "foo"</t>
  </si>
  <si>
    <t>User 99 has no post</t>
  </si>
  <si>
    <t>viewerEmail = viewer@fpt.edu.vn</t>
  </si>
  <si>
    <t>CreateQuestionRequest</t>
  </si>
  <si>
    <t>viewerEmail = null</t>
  </si>
  <si>
    <t>keyword = "zzz"</t>
  </si>
  <si>
    <t>email of the owner, postId = 5</t>
  </si>
  <si>
    <t>CreateQuestionRequest(topicId = 99)</t>
  </si>
  <si>
    <t>id = 5, viewerEmail = null</t>
  </si>
  <si>
    <t>CreateQuestionRequest(majorId = 99)</t>
  </si>
  <si>
    <t>email of a different student, postId = 5</t>
  </si>
  <si>
    <t>imageUrls with 6 entries (above MAX_IMAGES = 5) bypassing DTO validation</t>
  </si>
  <si>
    <t>email of an admin, postId = 5</t>
  </si>
  <si>
    <t>id = 5, viewerEmail</t>
  </si>
  <si>
    <t>imageUrls = ["ok.png", "   ", null, &lt;501-character URL&gt;]</t>
  </si>
  <si>
    <t>email, postId = 404</t>
  </si>
  <si>
    <t>keyword = null</t>
  </si>
  <si>
    <t>title length = 250, body length = 10000, 5 images (all maxima)</t>
  </si>
  <si>
    <t>keyword = "   " (only spaces)</t>
  </si>
  <si>
    <t>title length = 251</t>
  </si>
  <si>
    <t>keyword = "Hà Nội", type = "RECRUITMENT"</t>
  </si>
  <si>
    <t>body length = 10001</t>
  </si>
  <si>
    <t>keyword = "zzz-no-match"</t>
  </si>
  <si>
    <t>imageUrls with 6 entries</t>
  </si>
  <si>
    <t>PageResponse with 2 QuestionResponse; no keyword/topic/major filter, sorted by createdAt DESC (recent)</t>
  </si>
  <si>
    <t>title = "  " (blank), body = ""</t>
  </si>
  <si>
    <t>userId = 1, category = "all", page = 0, size = 10, viewerEmail = null</t>
  </si>
  <si>
    <t>filterByKeyword = true and LIKE pattern "%java%" (trimmed, lower-case)</t>
  </si>
  <si>
    <t>id = 7, UpdateQuestionRequest(title = "  New title ", body = "New body", topicId = null)</t>
  </si>
  <si>
    <t>Wildcards are escaped: pattern "%50\%\_off\\%" so they are matched literally</t>
  </si>
  <si>
    <t>userId = 1, category = "achievement" (lower-case), viewerEmail</t>
  </si>
  <si>
    <t>id = 7 by another user</t>
  </si>
  <si>
    <t>Accepted and searched</t>
  </si>
  <si>
    <t>category = "FOO"</t>
  </si>
  <si>
    <t>filterByTopic = true with [1,2] and filterByMajor = true with [3]</t>
  </si>
  <si>
    <t>id = 7, topicId = 99</t>
  </si>
  <si>
    <t>Order: voteCount DESC, answerCount DESC, then createdAt DESC appended for stability</t>
  </si>
  <si>
    <t>Mapper receives voted = true only for question 2</t>
  </si>
  <si>
    <t>id = 7</t>
  </si>
  <si>
    <t>Images are loaded in one batch and passed to the mapper in sort order</t>
  </si>
  <si>
    <t>Empty PageResponse (content=[], totalElements=0)</t>
  </si>
  <si>
    <t>userId = 99, page = 0, size = 10</t>
  </si>
  <si>
    <t>QuestionDetailResponse built with the question, author profile, images and voted = false</t>
  </si>
  <si>
    <t>voted = true is passed to the mapper</t>
  </si>
  <si>
    <t>2 TopicResponse ordered by id ascending</t>
  </si>
  <si>
    <t>QuestionDetailResponse; Question saved ACTIVE with trimmed title/body, voteCount = 0, answerCount = 0, topic = null, major = null</t>
  </si>
  <si>
    <t>BadRequestException: Từ khóa tìm kiếm không được vượt quá 250 ký tự</t>
  </si>
  <si>
    <t>Question linked to the topic and the major; 2 QuestionImage rows saved with sortOrder 0 and 1</t>
  </si>
  <si>
    <t>Service keeps only the first 5 images</t>
  </si>
  <si>
    <t>BadRequestException: Tiêu chí sắp xếp không hợp lệ: foo</t>
  </si>
  <si>
    <t>Blank, null and over-long (&gt; 500 chars) URLs are discarded; only "ok.png" is stored</t>
  </si>
  <si>
    <t>ResourceNotFoundException: Không tìm thấy câu hỏi với id: 404</t>
  </si>
  <si>
    <t>Void; post status = DELETED (soft delete) and saved</t>
  </si>
  <si>
    <t>Event status = CANCELLED, all registrations cancelled (cancelAllByEventId), post status = DELETED</t>
  </si>
  <si>
    <t>Question updated with trimmed values, topic cleared; images replaced (old images deleted)</t>
  </si>
  <si>
    <t>Empty search patterns ("", "") are used: no filtering by keyword</t>
  </si>
  <si>
    <t>Void; status = DELETED (soft delete) and saved</t>
  </si>
  <si>
    <t>Blank keyword is treated like no keyword (empty patterns)</t>
  </si>
  <si>
    <t>Patterns "%hà nội%" and accent-free "%ha noi%" are searched in category RECRUITMENT</t>
  </si>
  <si>
    <t>Empty PageResponse with totalElements = 0 and last = true</t>
  </si>
  <si>
    <t>ForbiddenException: Chỉ sinh viên và cựu sinh viên mới được đặt câu hỏi</t>
  </si>
  <si>
    <t>PageResponse with 1 PostResponse; no category filter, no like/save lookup</t>
  </si>
  <si>
    <t>BadRequestException: Thể loại không tồn tại</t>
  </si>
  <si>
    <t>Category parsed case-insensitively (ACHIEVEMENT); saved flag of post 5 = true</t>
  </si>
  <si>
    <t>BadRequestException: Ngành không tồn tại</t>
  </si>
  <si>
    <t>Empty PageResponse (content = [], totalElements = 0)</t>
  </si>
  <si>
    <t>RuntimeException: Lỗi hệ thống: Không thể tạo câu hỏi</t>
  </si>
  <si>
    <t>ForbiddenException: Bạn chỉ được xóa bài viết của chính mình</t>
  </si>
  <si>
    <t>ConstraintViolation: Tiêu đề câu hỏi không được vượt quá 250 ký tự</t>
  </si>
  <si>
    <t>ForbiddenException: Chỉ sinh viên và cựu sinh viên mới được xóa bài viết</t>
  </si>
  <si>
    <t>ConstraintViolation: Nội dung câu hỏi không được vượt quá 10000 ký tự</t>
  </si>
  <si>
    <t>ResourceNotFoundException: Bài viết này không còn khả dụng (cannot delete twice)</t>
  </si>
  <si>
    <t>ConstraintViolation: Chỉ được đính kèm tối đa 5 ảnh</t>
  </si>
  <si>
    <t>ConstraintViolation: Tiêu đề câu hỏi không được để trống / Nội dung câu hỏi không được để trống</t>
  </si>
  <si>
    <t>ForbiddenException: Chỉ tác giả mới được chỉnh sửa câu hỏi này</t>
  </si>
  <si>
    <t>ForbiddenException: Chỉ tác giả mới được xóa câu hỏi này</t>
  </si>
  <si>
    <t>Answer, reply, edit and delete forum answers</t>
  </si>
  <si>
    <t>Question 10 has top-level answers 1 and 2; answer 3 is a reply of answer 1</t>
  </si>
  <si>
    <t>Question has no answer</t>
  </si>
  <si>
    <t>STUDENT replies to question 10 owned by someone else (answerCount = 2)</t>
  </si>
  <si>
    <t>Top-level answer 1 of question 10 exists</t>
  </si>
  <si>
    <t>Parent answer 404 does not exist</t>
  </si>
  <si>
    <t>Parent answer 1 exists but its status is DELETED</t>
  </si>
  <si>
    <t>Parent answer 1 belongs to another question (id 11)</t>
  </si>
  <si>
    <t>Answer 3 is already a reply (has a parent): nesting would reach level 3</t>
  </si>
  <si>
    <t>The student owns ACTIVE answer 5 of question 10</t>
  </si>
  <si>
    <t>Answer 5 belongs to another user</t>
  </si>
  <si>
    <t>Answer 5 belongs to question 11 while the URL uses question 10</t>
  </si>
  <si>
    <t>Answer 5 is DELETED</t>
  </si>
  <si>
    <t>The student owns top-level answer 5 which has 2 ACTIVE replies (ids 6, 7); question.answerCount = 2</t>
  </si>
  <si>
    <t>The student owns reply 6 (has a parent)</t>
  </si>
  <si>
    <t>Top-level answer 5 owned by the student; cached question.answerCount is already 0</t>
  </si>
  <si>
    <t>Validator applied to CreateAnswerRequest</t>
  </si>
  <si>
    <t>Validator applied to UpdateAnswerRequest</t>
  </si>
  <si>
    <t>questionId = 10, page = 0, size = 10, viewerEmail = null</t>
  </si>
  <si>
    <t>questionId = 404</t>
  </si>
  <si>
    <t>questionId = 10, page = 0, size = 10</t>
  </si>
  <si>
    <t>questionId = 10, CreateAnswerRequest(body = "  My answer  ", parentId = null)</t>
  </si>
  <si>
    <t>CreateAnswerRequest(body = "Reply", parentId = 1)</t>
  </si>
  <si>
    <t>CreateAnswerRequest</t>
  </si>
  <si>
    <t>CreateAnswerRequest(parentId = 404)</t>
  </si>
  <si>
    <t>CreateAnswerRequest(parentId = 1)</t>
  </si>
  <si>
    <t>questionId = 10, parentId = 1</t>
  </si>
  <si>
    <t>CreateAnswerRequest(parentId = 3)</t>
  </si>
  <si>
    <t>questionId = 10, answerId = 5, UpdateAnswerRequest(body = "  edited  ")</t>
  </si>
  <si>
    <t>answerId = 5</t>
  </si>
  <si>
    <t>questionId = 10, answerId = 5</t>
  </si>
  <si>
    <t>questionId = 10, answerId = 6</t>
  </si>
  <si>
    <t>body length = 10000 (maximum)</t>
  </si>
  <si>
    <t>body = "   " (blank)</t>
  </si>
  <si>
    <t>PageResponse with 2 top-level AnswerResponse; the reply is nested inside answer 1 (replies of 2 are empty)</t>
  </si>
  <si>
    <t>Empty PageResponse; replies query is skipped</t>
  </si>
  <si>
    <t>AnswerResponse; Answer saved ACTIVE with trimmed body and 0 votes; question.answerCount = 3</t>
  </si>
  <si>
    <t>Answer notification sent to the asker</t>
  </si>
  <si>
    <t>Reply saved with parent = answer 1; question.answerCount unchanged (replies are not counted)</t>
  </si>
  <si>
    <t>Vote on forum questions and answers</t>
  </si>
  <si>
    <t>AnswerResponse; body trimmed and saved</t>
  </si>
  <si>
    <t>Void; votes of answers 5, 6, 7 are removed, replies are deleted first, answer 5 is hard-deleted, question.answerCount = 1</t>
  </si>
  <si>
    <t>Reply deleted; question.answerCount unchanged; no reply sweep executed</t>
  </si>
  <si>
    <t>answerCount never goes negative (stays 0)</t>
  </si>
  <si>
    <t>ForbiddenException: Chỉ sinh viên và cựu sinh viên mới được trả lời câu hỏi</t>
  </si>
  <si>
    <t>BadRequestException: Câu trả lời cha không tồn tại</t>
  </si>
  <si>
    <t>BadRequestException: Câu trả lời cha không thuộc câu hỏi này</t>
  </si>
  <si>
    <t>Member has not voted question 10 (voteCount = 4)</t>
  </si>
  <si>
    <t>BadRequestException: Chỉ được trả lời trực tiếp một câu trả lời gốc</t>
  </si>
  <si>
    <t>Member already voted question 10</t>
  </si>
  <si>
    <t>ForbiddenException: Chỉ tác giả mới được chỉnh sửa câu trả lời này</t>
  </si>
  <si>
    <t>ResourceNotFoundException: Không tìm thấy câu trả lời với id: 5</t>
  </si>
  <si>
    <t>Member voted question 10 (voteCount = 4)</t>
  </si>
  <si>
    <t>ForbiddenException: Chỉ tác giả mới được xóa câu trả lời này</t>
  </si>
  <si>
    <t>Member never voted question 10</t>
  </si>
  <si>
    <t>ConstraintViolation: Nội dung câu trả lời không được vượt quá 10000 ký tự</t>
  </si>
  <si>
    <t>Member voted but cached voteCount is 0</t>
  </si>
  <si>
    <t>Member has not voted answer 20 (voteCount = 4)</t>
  </si>
  <si>
    <t>ConstraintViolation: Nội dung câu trả lời không được để trống</t>
  </si>
  <si>
    <t>Member already voted answer 20</t>
  </si>
  <si>
    <t>Answer 20 belongs to question 10 but the URL uses question 99</t>
  </si>
  <si>
    <t>Answer 20 status is DELETED</t>
  </si>
  <si>
    <t>Member voted answer 20 (voteCount = 4)</t>
  </si>
  <si>
    <t>Member never voted answer 20</t>
  </si>
  <si>
    <t>Member voted answer 20 but cached voteCount is 0</t>
  </si>
  <si>
    <t>email, questionId = 10</t>
  </si>
  <si>
    <t>Contribute salary data and view recent contributions</t>
  </si>
  <si>
    <t>email of admin, questionId = 10</t>
  </si>
  <si>
    <t>email, questionId = 404</t>
  </si>
  <si>
    <t>email, questionId = 10, answerId = 20</t>
  </si>
  <si>
    <t>email, questionId = 99, answerId = 20</t>
  </si>
  <si>
    <t>email of admin, questionId = 10, answerId = 20</t>
  </si>
  <si>
    <t>VoteResponse(voted = true, voteCount = 5); Vote(value = 1, target QUESTION 10) saved; counter incremented in DB</t>
  </si>
  <si>
    <t>Idempotent: voted = true, voteCount stays 4, no new Vote row, counter not incremented</t>
  </si>
  <si>
    <t>Edit and delete own salary contributions</t>
  </si>
  <si>
    <t>VoteResponse(voted = false, voteCount = 3); Vote deleted and counter decremented</t>
  </si>
  <si>
    <t>No-op: voted = false, voteCount stays 4, nothing deleted</t>
  </si>
  <si>
    <t>voteCount never negative (stays 0)</t>
  </si>
  <si>
    <t>VoteResponse(voted = true, voteCount = 5); Vote(target ANSWER 20) saved; counter incremented</t>
  </si>
  <si>
    <t>Idempotent: voteCount stays 4; nothing saved</t>
  </si>
  <si>
    <t>No-op: voteCount stays 4</t>
  </si>
  <si>
    <t>ForbiddenException: Chỉ sinh viên và cựu sinh viên mới được bình chọn câu hỏi</t>
  </si>
  <si>
    <t>ResourceNotFoundException: Không tìm thấy câu trả lời với id: 20</t>
  </si>
  <si>
    <t>ForbiddenException: Chỉ sinh viên và cựu sinh viên mới được bình chọn câu trả lời</t>
  </si>
  <si>
    <t>ALUMNI account exists; industry 4 exists</t>
  </si>
  <si>
    <t>Account role is STUDENT</t>
  </si>
  <si>
    <t>Industry 99 does not exist</t>
  </si>
  <si>
    <t>The alumnus owns contribution 9</t>
  </si>
  <si>
    <t>Validator applied to CreateSalaryContributionRequest</t>
  </si>
  <si>
    <t>Contribution 9 belongs to another alumnus</t>
  </si>
  <si>
    <t>The alumnus has 2 contributions</t>
  </si>
  <si>
    <t>Contribution 404 does not exist</t>
  </si>
  <si>
    <t>Contribution 9 already has locationCity "Hà Nội"</t>
  </si>
  <si>
    <t>CreateSalaryContributionRequest(jobTitle = "  Backend Developer  ", grossAmount = 25000000, currency = null)</t>
  </si>
  <si>
    <t>id = 9, UpdateSalaryContributionRequest(jobTitle = "Senior Developer", grossAmount = 40000000)</t>
  </si>
  <si>
    <t>id = 9</t>
  </si>
  <si>
    <t>currency = " usd " (lower-case with spaces)</t>
  </si>
  <si>
    <t>UpdateSalaryContributionRequest(locationCity = null, region = "Quận 1, TP. HCM")</t>
  </si>
  <si>
    <t>currency = "EURO" (4 letters)</t>
  </si>
  <si>
    <t>industryId = 4, company = "  FPT  ", region = "Cầu Giấy, Hà Nội", locationCity = null, yearsExperience = 3</t>
  </si>
  <si>
    <t>region = "Quận 1, TP. HCM", locationCity = "Đà Nẵng" (explicit)</t>
  </si>
  <si>
    <t>region = "Quận 1, TP. HCM" (HCMC abbreviation)</t>
  </si>
  <si>
    <t>SalaryContributionResponse; jobTitle and amount updated and saved</t>
  </si>
  <si>
    <t>region = "Đà Lạt, Tỉnh Lâm Đồng" (not in the known-city list)</t>
  </si>
  <si>
    <t>Existing locationCity "Hà Nội" is kept (not overwritten by the region guess)</t>
  </si>
  <si>
    <t>company = "   ", region = "" (blank optional fields)</t>
  </si>
  <si>
    <t>Void; contribution deleted (hard delete)</t>
  </si>
  <si>
    <t>CreateSalaryContributionRequest</t>
  </si>
  <si>
    <t>ForbiddenException: Chỉ chính chủ mới được chỉnh sửa lượt đóng góp này</t>
  </si>
  <si>
    <t>ResourceNotFoundException: Không tìm thấy lượt đóng góp với id: 404</t>
  </si>
  <si>
    <t>BadRequestException: Đơn vị tiền tệ phải là mã 3 chữ cái (VD: VND, USD)</t>
  </si>
  <si>
    <t>industryId = 99</t>
  </si>
  <si>
    <t>ForbiddenException: Chỉ chính chủ mới được xóa lượt đóng góp này</t>
  </si>
  <si>
    <t>currency = "US" (2 letters, below the 3-letter ISO format)</t>
  </si>
  <si>
    <t>currency = "USDT" (4 letters, above the 3-letter ISO format)</t>
  </si>
  <si>
    <t>currency = "   " (blank)</t>
  </si>
  <si>
    <t>grossAmount = 0.01 (smallest allowed)</t>
  </si>
  <si>
    <t>grossAmount = 0.00</t>
  </si>
  <si>
    <t>grossAmount = 1.234 (3 decimal places)</t>
  </si>
  <si>
    <t>grossAmount = null</t>
  </si>
  <si>
    <t>yearsExperience = 0 and 60 (both bounds)</t>
  </si>
  <si>
    <t>yearsExperience = -1 and 61 (just outside the bounds)</t>
  </si>
  <si>
    <t>jobTitle length = 150 (maximum)</t>
  </si>
  <si>
    <t>jobTitle length = 151</t>
  </si>
  <si>
    <t>SalaryContributionResponse; contribution saved with trimmed jobTitle and default currency VND</t>
  </si>
  <si>
    <t>Currency normalised to "USD"</t>
  </si>
  <si>
    <t>Industry linked, company trimmed, locationCity derived from the region = "Hà Nội"</t>
  </si>
  <si>
    <t>Explicit locationCity is kept ("Đà Nẵng"), not derived from the region</t>
  </si>
  <si>
    <t>locationCity = "Thành Phố Hồ Chí Minh"</t>
  </si>
  <si>
    <t>City taken from the last comma part with the prefix removed: "Lâm Đồng"</t>
  </si>
  <si>
    <t>Blank optional fields are stored as null</t>
  </si>
  <si>
    <t>Blank currency falls back to VND</t>
  </si>
  <si>
    <t>No constraint violation for 0 and for 60</t>
  </si>
  <si>
    <t>List of 2 SalaryContributionResponse (newest first, only own data)</t>
  </si>
  <si>
    <t>ForbiddenException: Chỉ cựu sinh viên mới được đóng góp dữ liệu lương</t>
  </si>
  <si>
    <t>BadRequestException: Ngành nghề không tồn tại</t>
  </si>
  <si>
    <t>RuntimeException: Lỗi hệ thống: Không thể lưu dữ liệu lương</t>
  </si>
  <si>
    <t>ConstraintViolation: Mức lương phải lớn hơn 0</t>
  </si>
  <si>
    <t>ConstraintViolation: Mức lương không hợp lệ</t>
  </si>
  <si>
    <t>ConstraintViolation: Mức lương không được để trống</t>
  </si>
  <si>
    <t>ConstraintViolation: Số năm kinh nghiệm không được âm / Số năm kinh nghiệm không hợp lệ</t>
  </si>
  <si>
    <t>ConstraintViolation: Chức danh công việc không được vượt quá 150 ký tự</t>
  </si>
  <si>
    <t>View salary statistics and filter by industry / region / job title</t>
  </si>
  <si>
    <t>12 contributions match; overall median 30,000,000; one group (Backend Developer / Mid / Hà Nội) with 5 samples</t>
  </si>
  <si>
    <t>Create a group chat and update its name and avatar</t>
  </si>
  <si>
    <t>No contribution matches</t>
  </si>
  <si>
    <t>Industry 4 exists</t>
  </si>
  <si>
    <t>2 contributions exist</t>
  </si>
  <si>
    <t>Contributions exist</t>
  </si>
  <si>
    <t>One contribution matches industry 4, region "Hà Nội", search "developer"</t>
  </si>
  <si>
    <t>industryId = null, region = null, jobTitle = null, level = null</t>
  </si>
  <si>
    <t>jobTitle = "No Such Job"</t>
  </si>
  <si>
    <t>level = "Lead" (not Junior/Mid/Senior)</t>
  </si>
  <si>
    <t>industryId = 4, level = " Senior " (valid with spaces)</t>
  </si>
  <si>
    <t>level = "   " (blank), region = "  ", jobTitle = ""</t>
  </si>
  <si>
    <t>region = "Hà Nội", jobTitle = "50%_dev" (contains LIKE wildcards)</t>
  </si>
  <si>
    <t>getStatistics(...) with any filter</t>
  </si>
  <si>
    <t>page = 0, size = 10 (default feed)</t>
  </si>
  <si>
    <t>Creator exists; 2 member ids exist</t>
  </si>
  <si>
    <t>sortBy = "salaryDesc"</t>
  </si>
  <si>
    <t>Creator exists; member ids contain the creator</t>
  </si>
  <si>
    <t>sortBy = "SALARYASC" (case-insensitive)</t>
  </si>
  <si>
    <t>Creator exists</t>
  </si>
  <si>
    <t>sortBy = "unknown"</t>
  </si>
  <si>
    <t>page = 0, size = 5, industryId = 4, region = "  Hà Nội ", search = " developer "</t>
  </si>
  <si>
    <t>Add / remove / leave members and dissolve a group chat</t>
  </si>
  <si>
    <t>Creator exists; member id 99 does not exist</t>
  </si>
  <si>
    <t>search = "zzz"</t>
  </si>
  <si>
    <t>Group exists; caller is group ADMIN</t>
  </si>
  <si>
    <t>Group exists; caller is a MEMBER</t>
  </si>
  <si>
    <t>Conversation is a DIRECT conversation</t>
  </si>
  <si>
    <t>CreateGroupRequest(title='Team A', memberIds=[2,3])</t>
  </si>
  <si>
    <t>SalaryStatisticsResponse(totalContributions = 12, trackedPositions = 1, overallMedian = 30000000, rows[0].role = Backend Developer, samples = 5, p25/median/p75)</t>
  </si>
  <si>
    <t>memberIds=[1,2] (1 = creator)</t>
  </si>
  <si>
    <t>title with 1 character</t>
  </si>
  <si>
    <t>totalContributions = 0, trackedPositions = 0, overallMedian = null, empty rows</t>
  </si>
  <si>
    <t>title with 100 characters</t>
  </si>
  <si>
    <t>Filters industry and level are switched on; level is trimmed to "Senior"</t>
  </si>
  <si>
    <t>title with 101 characters</t>
  </si>
  <si>
    <t>Blank filters are ignored: all filter flags false</t>
  </si>
  <si>
    <t>memberIds = [] (empty)</t>
  </si>
  <si>
    <t>LIKE patterns "%Hà Nội%" and "%50\%\_dev%" (wildcards escaped)</t>
  </si>
  <si>
    <t>memberIds=[99]</t>
  </si>
  <si>
    <t>Grouped statistics are requested with a minimum sample size of 1 (every valid contribution is visible)</t>
  </si>
  <si>
    <t>UpdateGroupRequest(title='New name', avatarUrl='a.png')</t>
  </si>
  <si>
    <t>UpdateGroupRequest(title='New name')</t>
  </si>
  <si>
    <t>PageResponse with 2 anonymised SalaryContributionResponse sorted by createdAt DESC</t>
  </si>
  <si>
    <t>UpdateGroupRequest(title='x')</t>
  </si>
  <si>
    <t>Sorted by grossAmount DESC</t>
  </si>
  <si>
    <t>Sorted by grossAmount ASC</t>
  </si>
  <si>
    <t>Unknown sort key falls back to createdAt DESC</t>
  </si>
  <si>
    <t>PageResponse(pageNumber = 0, pageSize = 5, totalElements = 1, last = true) with 1 item</t>
  </si>
  <si>
    <t>Caller is group ADMIN; users 4,5 exist and are not members</t>
  </si>
  <si>
    <t>Caller is a MEMBER</t>
  </si>
  <si>
    <t>ConversationResponse of type GROUP; creator is ADMIN, 2 MEMBER participants and a system message saved</t>
  </si>
  <si>
    <t>User 4 is already a member</t>
  </si>
  <si>
    <t>Creator is not duplicated in the participant list</t>
  </si>
  <si>
    <t>Caller is ADMIN; target is MEMBER</t>
  </si>
  <si>
    <t>Caller is MEMBER; target is another member</t>
  </si>
  <si>
    <t>Group created successfully</t>
  </si>
  <si>
    <t>BadRequestException: Cấp bậc không hợp lệ (chỉ chấp nhận Junior/Mid/Senior)</t>
  </si>
  <si>
    <t>Caller is MEMBER</t>
  </si>
  <si>
    <t>Group updated and a system message about the change is posted</t>
  </si>
  <si>
    <t>Caller is ADMIN with 2+ members</t>
  </si>
  <si>
    <t>Target is owner of the linked community group</t>
  </si>
  <si>
    <t>Validation error: title must be 1-100 characters</t>
  </si>
  <si>
    <t>Caller is the only participant</t>
  </si>
  <si>
    <t>Validation error: memberIds must not be empty</t>
  </si>
  <si>
    <t>Caller is group ADMIN</t>
  </si>
  <si>
    <t>ResourceNotFoundException: user not found</t>
  </si>
  <si>
    <t>Caller is a participant</t>
  </si>
  <si>
    <t>ForbiddenException: only group admin can update the group</t>
  </si>
  <si>
    <t>BadRequestException: not a group conversation</t>
  </si>
  <si>
    <t>addMembers(groupId, [4,5])</t>
  </si>
  <si>
    <t>addMembers(groupId, [4])</t>
  </si>
  <si>
    <t>removeMember(groupId, targetId)</t>
  </si>
  <si>
    <t>removeMember(groupId, callerId) (leave)</t>
  </si>
  <si>
    <t>removeMember(groupId, callerId)</t>
  </si>
  <si>
    <t>removeMember(groupId, ownerId)</t>
  </si>
  <si>
    <t>deleteConversation(groupId)</t>
  </si>
  <si>
    <t>getGroupMembers(groupId)</t>
  </si>
  <si>
    <t>2 participants added and a system message posted</t>
  </si>
  <si>
    <t>Already existing member is skipped; no duplicate participant</t>
  </si>
  <si>
    <t>Participant removed and system message posted</t>
  </si>
  <si>
    <t>Caller leaves the group and a system message is posted</t>
  </si>
  <si>
    <t>Admin role is transferred to the next member</t>
  </si>
  <si>
    <t>Conversation is deleted automatically</t>
  </si>
  <si>
    <t>Group conversation deleted for all members</t>
  </si>
  <si>
    <t>List of members with role returned</t>
  </si>
  <si>
    <t>ForbiddenException: only admin can add members</t>
  </si>
  <si>
    <t>ForbiddenException: only admin can remove members</t>
  </si>
  <si>
    <t>BadRequestException: cannot remove community group owner</t>
  </si>
  <si>
    <t>ForbiddenException: only admin can dissolve the group</t>
  </si>
  <si>
    <t>List / search community groups, my groups and group detail</t>
  </si>
  <si>
    <t>Groups exist</t>
  </si>
  <si>
    <t>No group exists</t>
  </si>
  <si>
    <t>User joined 2 groups</t>
  </si>
  <si>
    <t>Group exists; user is a member</t>
  </si>
  <si>
    <t>Group id 99 does not exist</t>
  </si>
  <si>
    <t>Group is deleted</t>
  </si>
  <si>
    <t>listGroups(keyword=null, category=null, page 0)</t>
  </si>
  <si>
    <t>listGroups(keyword='java')</t>
  </si>
  <si>
    <t>listGroups(category='technology')</t>
  </si>
  <si>
    <t>listGroups(...)</t>
  </si>
  <si>
    <t>getMyGroups(userId)</t>
  </si>
  <si>
    <t>getGroupDetail(groupId, userId)</t>
  </si>
  <si>
    <t>getGroupDetail(99, userId)</t>
  </si>
  <si>
    <t>Page of non-deleted groups ordered by newest</t>
  </si>
  <si>
    <t>Create, update, close / reopen and delete a community group</t>
  </si>
  <si>
    <t>Only groups matching name / description / topics</t>
  </si>
  <si>
    <t>Only groups of the category</t>
  </si>
  <si>
    <t>Empty page returned</t>
  </si>
  <si>
    <t>2 groups returned</t>
  </si>
  <si>
    <t>GroupResponse with membership state and member count</t>
  </si>
  <si>
    <t>ResourceNotFoundException: group not found</t>
  </si>
  <si>
    <t>Join / leave a group and approve or reject join requests</t>
  </si>
  <si>
    <t>Caller is OWNER</t>
  </si>
  <si>
    <t>Group is INACTIVE</t>
  </si>
  <si>
    <t>Caller is OWNER; group ACTIVE</t>
  </si>
  <si>
    <t>Caller is OWNER; group INACTIVE</t>
  </si>
  <si>
    <t>Caller is ADMIN (not owner)</t>
  </si>
  <si>
    <t>Group is public and ACTIVE; user not a member</t>
  </si>
  <si>
    <t>CreateGroupRequest(name, description, category='technology', topics=[..])</t>
  </si>
  <si>
    <t>View members, remove a member and change member roles</t>
  </si>
  <si>
    <t>name with 200 characters</t>
  </si>
  <si>
    <t>Group is private and ACTIVE</t>
  </si>
  <si>
    <t>name with 201 characters</t>
  </si>
  <si>
    <t>User is already an ACTIVE member</t>
  </si>
  <si>
    <t>topics with 6 items</t>
  </si>
  <si>
    <t>User has a PENDING request</t>
  </si>
  <si>
    <t>updateGroup(groupId, UpdateGroupRequest)</t>
  </si>
  <si>
    <t>updateGroup(groupId, request)</t>
  </si>
  <si>
    <t>User previously left the group</t>
  </si>
  <si>
    <t>updateGroupStatus(groupId, INACTIVE)</t>
  </si>
  <si>
    <t>User is MEMBER</t>
  </si>
  <si>
    <t>updateGroupStatus(groupId, ACTIVE)</t>
  </si>
  <si>
    <t>updateGroupStatus(groupId, DELETED)</t>
  </si>
  <si>
    <t>User is OWNER</t>
  </si>
  <si>
    <t>deleteGroup(groupId)</t>
  </si>
  <si>
    <t>Caller is OWNER; pending requests exist</t>
  </si>
  <si>
    <t>Caller is OWNER; request pending</t>
  </si>
  <si>
    <t>Caller is ADMIN; request pending</t>
  </si>
  <si>
    <t>Group saved ACTIVE; creator becomes OWNER member</t>
  </si>
  <si>
    <t>Group created</t>
  </si>
  <si>
    <t>joinGroup(groupId, userId)</t>
  </si>
  <si>
    <t>Group information updated</t>
  </si>
  <si>
    <t>leaveGroup(groupId, userId)</t>
  </si>
  <si>
    <t>getJoinRequests(groupId, ownerId)</t>
  </si>
  <si>
    <t>Group becomes INACTIVE</t>
  </si>
  <si>
    <t>Group becomes ACTIVE</t>
  </si>
  <si>
    <t>handleJoinRequest(groupId, requestId, approve=true)</t>
  </si>
  <si>
    <t>Group soft-deleted</t>
  </si>
  <si>
    <t>handleJoinRequest(groupId, requestId, approve=false)</t>
  </si>
  <si>
    <t>Group has 3 members</t>
  </si>
  <si>
    <t>handleJoinRequest(groupId, requestId, true)</t>
  </si>
  <si>
    <t>Caller is OWNER; target is MEMBER</t>
  </si>
  <si>
    <t>Validation error: name must not exceed 200 characters</t>
  </si>
  <si>
    <t>Validation error: at most 5 topics</t>
  </si>
  <si>
    <t>Caller is ADMIN; target is OWNER</t>
  </si>
  <si>
    <t>ForbiddenException: Bạn không có quyền quản lý hội nhóm này.</t>
  </si>
  <si>
    <t>BadRequestException: Hội nhóm đang tạm ngừng hoạt động.</t>
  </si>
  <si>
    <t>Membership ACTIVE with role MEMBER; member count +1</t>
  </si>
  <si>
    <t>Caller is OWNER; group has no ADMIN</t>
  </si>
  <si>
    <t>BadRequestException: only INACTIVE or ACTIVE allowed</t>
  </si>
  <si>
    <t>Group already has an ADMIN</t>
  </si>
  <si>
    <t>ForbiddenException: Chỉ chủ sở hữu hội nhóm mới có quyền thực hiện thao tác này.</t>
  </si>
  <si>
    <t>Membership PENDING; member count unchanged</t>
  </si>
  <si>
    <t>Target is ADMIN</t>
  </si>
  <si>
    <t>Membership reactivated</t>
  </si>
  <si>
    <t>Caller is ADMIN</t>
  </si>
  <si>
    <t>Membership set to LEFT; member count -1</t>
  </si>
  <si>
    <t>List of pending requests</t>
  </si>
  <si>
    <t>getMembers(groupId, page 0)</t>
  </si>
  <si>
    <t>Member becomes ACTIVE; applicant notified</t>
  </si>
  <si>
    <t>Request REJECTED</t>
  </si>
  <si>
    <t>changeMemberRole(groupId, targetId, ADMIN)</t>
  </si>
  <si>
    <t>ConflictException: Bạn đã là thành viên của hội nhóm này.</t>
  </si>
  <si>
    <t>changeMemberRole(groupId, targetId, MEMBER)</t>
  </si>
  <si>
    <t>ConflictException: pending request exists</t>
  </si>
  <si>
    <t>BadRequestException: owner cannot leave the group</t>
  </si>
  <si>
    <t>Page of members with role and joined time</t>
  </si>
  <si>
    <t>Member removed and count -1</t>
  </si>
  <si>
    <t>Member removed</t>
  </si>
  <si>
    <t>Target becomes ADMIN</t>
  </si>
  <si>
    <t>Target demoted to MEMBER</t>
  </si>
  <si>
    <t>ForbiddenException: cannot remove the owner</t>
  </si>
  <si>
    <t>ConflictException: Mỗi hội nhóm chỉ được có một quản trị viên. Hãy gỡ Admin hiện tại trước.</t>
  </si>
  <si>
    <t>View, create, edit, delete and pin group posts</t>
  </si>
  <si>
    <t>Caller is group member; posts exist</t>
  </si>
  <si>
    <t>Posts with topic 'java' exist</t>
  </si>
  <si>
    <t>Group is private; caller is not a member</t>
  </si>
  <si>
    <t>Post exists</t>
  </si>
  <si>
    <t>Post id 99 does not exist</t>
  </si>
  <si>
    <t>Caller is member of ACTIVE group</t>
  </si>
  <si>
    <t>Caller is member</t>
  </si>
  <si>
    <t>Caller is the author</t>
  </si>
  <si>
    <t>Caller is another member</t>
  </si>
  <si>
    <t>Caller is group ADMIN; not the author</t>
  </si>
  <si>
    <t>listPosts(groupId, topic=null, page 0)</t>
  </si>
  <si>
    <t>listPosts(groupId, topic='java')</t>
  </si>
  <si>
    <t>listPosts(groupId)</t>
  </si>
  <si>
    <t>getPostDetail(postId)</t>
  </si>
  <si>
    <t>Like / unlike posts and manage comments</t>
  </si>
  <si>
    <t>getPostDetail(99)</t>
  </si>
  <si>
    <t>CreateGroupPostRequest(content='hello', media=[1 image])</t>
  </si>
  <si>
    <t>content with 5000 characters</t>
  </si>
  <si>
    <t>content with 5001 characters</t>
  </si>
  <si>
    <t>11 media files</t>
  </si>
  <si>
    <t>createPost(...)</t>
  </si>
  <si>
    <t>updatePost(postId, new content)</t>
  </si>
  <si>
    <t>updatePost(postId, request)</t>
  </si>
  <si>
    <t>deletePost(postId)</t>
  </si>
  <si>
    <t>togglePin(postId)</t>
  </si>
  <si>
    <t>Pinned posts first, then newest</t>
  </si>
  <si>
    <t>Only posts of the topic</t>
  </si>
  <si>
    <t>GroupPostResponse with media, likes and comment count</t>
  </si>
  <si>
    <t>User has not liked the post</t>
  </si>
  <si>
    <t>Post saved with author and media</t>
  </si>
  <si>
    <t>User already liked the post</t>
  </si>
  <si>
    <t>Accept Mentoring terms, register / update the mentor profile</t>
  </si>
  <si>
    <t>Post saved</t>
  </si>
  <si>
    <t>Post content updated and edited flag set</t>
  </si>
  <si>
    <t>Post has root comments and replies</t>
  </si>
  <si>
    <t>Post soft-deleted</t>
  </si>
  <si>
    <t>Post deleted by moderator</t>
  </si>
  <si>
    <t>Parent comment exists</t>
  </si>
  <si>
    <t>Post pinned; calling again unpins it</t>
  </si>
  <si>
    <t>Caller is not the author</t>
  </si>
  <si>
    <t>ForbiddenException: members only</t>
  </si>
  <si>
    <t>ResourceNotFoundException: post not found</t>
  </si>
  <si>
    <t>toggleLike(postId, userId)</t>
  </si>
  <si>
    <t>Validation error: content must not exceed 5000 characters</t>
  </si>
  <si>
    <t>toggleLike(99, userId)</t>
  </si>
  <si>
    <t>Validation error: at most 10 media files</t>
  </si>
  <si>
    <t>listComments(postId, page 0)</t>
  </si>
  <si>
    <t>CreateCommentRequest(content='Nice')</t>
  </si>
  <si>
    <t>CreateCommentRequest(content, parentId)</t>
  </si>
  <si>
    <t>ForbiddenException: not the author</t>
  </si>
  <si>
    <t>content with 1000 characters</t>
  </si>
  <si>
    <t>content with 1001 characters</t>
  </si>
  <si>
    <t>Current terms version exists; user has not accepted</t>
  </si>
  <si>
    <t>content blank</t>
  </si>
  <si>
    <t>User has not accepted</t>
  </si>
  <si>
    <t>updateComment(commentId, 'edited')</t>
  </si>
  <si>
    <t>User already accepted</t>
  </si>
  <si>
    <t>View plans, select a plan and view the current subscription</t>
  </si>
  <si>
    <t>updateComment(commentId, 'x')</t>
  </si>
  <si>
    <t>Alumni with terms accepted and a current position</t>
  </si>
  <si>
    <t>deleteComment(commentId)</t>
  </si>
  <si>
    <t>Alumni with terms accepted</t>
  </si>
  <si>
    <t>Terms not accepted</t>
  </si>
  <si>
    <t>User role is STUDENT</t>
  </si>
  <si>
    <t>Alumni</t>
  </si>
  <si>
    <t>Existing industries A,B</t>
  </si>
  <si>
    <t>Like saved; like count +1; author notified</t>
  </si>
  <si>
    <t>Mentor is ACTIVE</t>
  </si>
  <si>
    <t>Like removed; like count -1</t>
  </si>
  <si>
    <t>Registration exists</t>
  </si>
  <si>
    <t>Root comments with nested replies</t>
  </si>
  <si>
    <t>getCurrentTermsStatus(userId)</t>
  </si>
  <si>
    <t>Comment saved and count +1</t>
  </si>
  <si>
    <t>acceptCurrentTerms(userId)</t>
  </si>
  <si>
    <t>Reply saved under the parent</t>
  </si>
  <si>
    <t>saveRegistration(complete request)</t>
  </si>
  <si>
    <t>Comment saved</t>
  </si>
  <si>
    <t>saveRegistration(partial request)</t>
  </si>
  <si>
    <t>Comment content updated</t>
  </si>
  <si>
    <t>saveRegistration(request)</t>
  </si>
  <si>
    <t>Comment deleted and count decreased</t>
  </si>
  <si>
    <t>bankBin = '12345'</t>
  </si>
  <si>
    <t>Comment deleted by moderator</t>
  </si>
  <si>
    <t>bankBin = '970436'</t>
  </si>
  <si>
    <t>accountHolder = 'nguyen van a'</t>
  </si>
  <si>
    <t>supportedIndustryIds = [C]</t>
  </si>
  <si>
    <t>saveRegistration(request missing a field)</t>
  </si>
  <si>
    <t>Validation error: comment must not exceed 1000 characters</t>
  </si>
  <si>
    <t>getRegistration(userId)</t>
  </si>
  <si>
    <t>Validation error: content must not be blank</t>
  </si>
  <si>
    <t>3 ACTIVE and 1 inactive plans</t>
  </si>
  <si>
    <t>Complete profile, terms accepted, no subscription</t>
  </si>
  <si>
    <t>accepted=false with terms version</t>
  </si>
  <si>
    <t>A PENDING_PAYMENT subscription exists</t>
  </si>
  <si>
    <t>Acceptance saved with version and time</t>
  </si>
  <si>
    <t>Mentor status INCOMPLETE</t>
  </si>
  <si>
    <t>Existing acceptance returned; no duplicate</t>
  </si>
  <si>
    <t>Status PAYMENT_PENDING; industries and topics saved</t>
  </si>
  <si>
    <t>ACTIVE subscription exists</t>
  </si>
  <si>
    <t>Status INCOMPLETE (draft saved)</t>
  </si>
  <si>
    <t>Registration saved</t>
  </si>
  <si>
    <t>Plan status is not ACTIVE</t>
  </si>
  <si>
    <t>Holder stored as 'NGUYEN VAN A'</t>
  </si>
  <si>
    <t>Old industries replaced by C</t>
  </si>
  <si>
    <t>No subscription exists</t>
  </si>
  <si>
    <t>Status stays ACTIVE (not downgraded)</t>
  </si>
  <si>
    <t>Saved data returned with masked bank account</t>
  </si>
  <si>
    <t>selectPackage(planId)</t>
  </si>
  <si>
    <t>ForbiddenException: Bạn cần chấp nhận Điều khoản Hướng dẫn &amp; Hỗ trợ trước khi đăng ký</t>
  </si>
  <si>
    <t>selectPackage(otherPlanId)</t>
  </si>
  <si>
    <t>ForbiddenException: Chức năng chỉ dành cho Cựu sinh viên (ALUMNI)</t>
  </si>
  <si>
    <t>getMySubscription(userId)</t>
  </si>
  <si>
    <t>BadRequestException: Mã BIN ngân hàng phải gồm đúng 6 chữ số.</t>
  </si>
  <si>
    <t>3 plans ordered by duration</t>
  </si>
  <si>
    <t>PENDING_PAYMENT subscription with price and duration snapshot</t>
  </si>
  <si>
    <t>Pending subscription updated; extra pending ones cancelled</t>
  </si>
  <si>
    <t>Active subscription returned</t>
  </si>
  <si>
    <t>BadRequestException: Bạn cần hoàn thiện thông tin hồ sơ Mentor trước khi chọn gói dịch vụ.</t>
  </si>
  <si>
    <t>ForbiddenException: Bạn phải chấp nhận Điều khoản Hướng dẫn &amp; Hỗ trợ trước khi chọn gói Mentor.</t>
  </si>
  <si>
    <t>BadRequestException: Bạn đang có gói Mentor đang hoạt động...</t>
  </si>
  <si>
    <t>BadRequestException: Gói dịch vụ không tồn tại hoặc đã ngưng hoạt động.</t>
  </si>
  <si>
    <t>ForbiddenException: Chức năng chọn gói Mentor chỉ dành riêng cho Cựu sinh viên.</t>
  </si>
  <si>
    <t>ResourceNotFoundException: Bạn chưa chọn gói dịch vụ Mentor nào.</t>
  </si>
  <si>
    <t>Compute the mentor status, missing requirements and next action</t>
  </si>
  <si>
    <t>Mentor ranking by field, search / filter mentors and mentor detail</t>
  </si>
  <si>
    <t>Create a general mentoring request and a direct request to a mentor</t>
  </si>
  <si>
    <t>Complete profile; ACTIVE subscription</t>
  </si>
  <si>
    <t>Subscription end date passed</t>
  </si>
  <si>
    <t>Complete profile; no subscription</t>
  </si>
  <si>
    <t>PENDING PayOS transaction not expired</t>
  </si>
  <si>
    <t>PENDING_PAYMENT subscription without transaction</t>
  </si>
  <si>
    <t>Profile incomplete</t>
  </si>
  <si>
    <t>User never registered</t>
  </si>
  <si>
    <t>Field has ACTIVE mentors</t>
  </si>
  <si>
    <t>Bank account number '123456789'</t>
  </si>
  <si>
    <t>Bank account number with 4 digits</t>
  </si>
  <si>
    <t>Field has no ACTIVE mentor</t>
  </si>
  <si>
    <t>Latest transaction CANCELLED</t>
  </si>
  <si>
    <t>ACTIVE user; terms accepted</t>
  </si>
  <si>
    <t>Field id 99 does not exist</t>
  </si>
  <si>
    <t>End date in the past</t>
  </si>
  <si>
    <t>Mentors exist</t>
  </si>
  <si>
    <t>ACTIVE user; mentor ACTIVE with valid plan</t>
  </si>
  <si>
    <t>Inactive and expired mentors exist</t>
  </si>
  <si>
    <t>ACTIVE user</t>
  </si>
  <si>
    <t>Mentor exists</t>
  </si>
  <si>
    <t>getMentorStatus(userId)</t>
  </si>
  <si>
    <t>User is locked</t>
  </si>
  <si>
    <t>Mentor id &lt;= 0</t>
  </si>
  <si>
    <t>Student views mentor responses; mentor accepts / declines requests</t>
  </si>
  <si>
    <t>Mentor is the requester</t>
  </si>
  <si>
    <t>Mentor id 99 does not exist</t>
  </si>
  <si>
    <t>Mentor not ACTIVE</t>
  </si>
  <si>
    <t>Mentor plan expired</t>
  </si>
  <si>
    <t>getMentorRanking(fieldId, page 0)</t>
  </si>
  <si>
    <t>Mentor does not support the field</t>
  </si>
  <si>
    <t>status ACTIVE with remaining days</t>
  </si>
  <si>
    <t>getMentorRanking(fieldId)</t>
  </si>
  <si>
    <t>Requester is not the group leader</t>
  </si>
  <si>
    <t>getMentorRanking(99)</t>
  </si>
  <si>
    <t>status EXPIRED; nextAction RENEW_SUBSCRIPTION</t>
  </si>
  <si>
    <t>User has requests</t>
  </si>
  <si>
    <t>status PAYMENT_PENDING; nextAction SELECT_PACKAGE</t>
  </si>
  <si>
    <t>searchMentors(keyword='java')</t>
  </si>
  <si>
    <t>Request belongs to another user</t>
  </si>
  <si>
    <t>nextAction RESUME_PAYMENT</t>
  </si>
  <si>
    <t>searchMentors(fieldId, workingMode, mentoringType)</t>
  </si>
  <si>
    <t>nextAction PAYMENT_CHECKOUT</t>
  </si>
  <si>
    <t>searchMentors(no filter)</t>
  </si>
  <si>
    <t>status INCOMPLETE; nextAction ACCEPT_TERMS</t>
  </si>
  <si>
    <t>valid general request</t>
  </si>
  <si>
    <t>nextAction COMPLETE_PROFILE with missing requirements</t>
  </si>
  <si>
    <t>valid direct request (mentorId)</t>
  </si>
  <si>
    <t>Default missing fields returned</t>
  </si>
  <si>
    <t>title with 5 / 200 characters</t>
  </si>
  <si>
    <t>size = 1 / size = 50</t>
  </si>
  <si>
    <t>Masked as '**** **** 6789'</t>
  </si>
  <si>
    <t>title with 4 / 201 characters</t>
  </si>
  <si>
    <t>size = 0 or 51</t>
  </si>
  <si>
    <t>Masked as '****' + number</t>
  </si>
  <si>
    <t>description with 19 / 3001 characters</t>
  </si>
  <si>
    <t>PENDING_PAYMENT subscription set to CANCELLED</t>
  </si>
  <si>
    <t>budgetMin=500000, budgetMax=300000</t>
  </si>
  <si>
    <t>remainingDays = 0</t>
  </si>
  <si>
    <t>expectedDeadline in the past</t>
  </si>
  <si>
    <t>searchMentors(fieldId=99)</t>
  </si>
  <si>
    <t>6 attachments / attachment &gt;= 10 MB</t>
  </si>
  <si>
    <t>getMentorDetail(mentorId)</t>
  </si>
  <si>
    <t>valid request</t>
  </si>
  <si>
    <t>getMentorDetail(0)</t>
  </si>
  <si>
    <t>Owner of a request with responses</t>
  </si>
  <si>
    <t>direct request to self</t>
  </si>
  <si>
    <t>getMentorDetail(99)</t>
  </si>
  <si>
    <t>direct request</t>
  </si>
  <si>
    <t>Request of another student</t>
  </si>
  <si>
    <t>group request</t>
  </si>
  <si>
    <t>Mentor ACTIVE with incoming requests</t>
  </si>
  <si>
    <t>getMyRequests(userId, page 0)</t>
  </si>
  <si>
    <t>Locked mentor account</t>
  </si>
  <si>
    <t>getRequestDetail(id, userId)</t>
  </si>
  <si>
    <t>Request addressed to the mentor</t>
  </si>
  <si>
    <t>Request addressed to another mentor</t>
  </si>
  <si>
    <t>Mentors ordered by reputation score</t>
  </si>
  <si>
    <t>Request OPEN; mentor ACTIVE</t>
  </si>
  <si>
    <t>Empty page</t>
  </si>
  <si>
    <t>Mentor already accepted</t>
  </si>
  <si>
    <t>Matching mentors only</t>
  </si>
  <si>
    <t>Request OPEN</t>
  </si>
  <si>
    <t>Filtered mentors</t>
  </si>
  <si>
    <t>Request OPEN and distributed to matching mentors</t>
  </si>
  <si>
    <t>Mentor already declined</t>
  </si>
  <si>
    <t>Only ACTIVE mentors with valid subscription</t>
  </si>
  <si>
    <t>Request is closed or matched</t>
  </si>
  <si>
    <t>Request sent only to the selected mentor</t>
  </si>
  <si>
    <t>Search succeeds</t>
  </si>
  <si>
    <t>Expected deadline passed</t>
  </si>
  <si>
    <t>Request created</t>
  </si>
  <si>
    <t>Detail with experience, expertise and request availability</t>
  </si>
  <si>
    <t>Page of own requests</t>
  </si>
  <si>
    <t>Mentor is a member of the requesting group</t>
  </si>
  <si>
    <t>ResourceNotFoundException: Không tìm thấy lĩnh vực chuyên môn với ID: 99</t>
  </si>
  <si>
    <t>Validation error: Tiêu đề yêu cầu phải từ 5 đến 200 ký tự</t>
  </si>
  <si>
    <t>BadRequestException: Kích thước trang không hợp lệ (cho phép từ 1 đến 50)</t>
  </si>
  <si>
    <t>getRequestDetailWithResponses(id, ownerId)</t>
  </si>
  <si>
    <t>Validation error: Mô tả chi tiết phải từ 20 đến 3000 ký tự</t>
  </si>
  <si>
    <t>BadRequestException: Chỉ số trang không hợp lệ (phải &gt;= 0)</t>
  </si>
  <si>
    <t>getRequestDetailWithResponses(id, otherId)</t>
  </si>
  <si>
    <t>BadRequestException: Ngân sách tối đa không được nhỏ hơn ngân sách tối thiểu</t>
  </si>
  <si>
    <t>getIncomingRequests(mentorId, status, type, page 0)</t>
  </si>
  <si>
    <t>BadRequestException: Lĩnh vực chuyên môn không hợp lệ hoặc không tồn tại</t>
  </si>
  <si>
    <t>BadRequestException: Thời hạn mong muốn phải ở trong tương lai</t>
  </si>
  <si>
    <t>getIncomingRequests(mentorId)</t>
  </si>
  <si>
    <t>BadRequestException: Định danh Mentor không hợp lệ (phải là số nguyên dương)</t>
  </si>
  <si>
    <t>getIncomingRequestDetail(id, mentorId)</t>
  </si>
  <si>
    <t>ResourceNotFoundException: Không tìm thấy thông tin Mentor với định danh: 99</t>
  </si>
  <si>
    <t>Validation error: Chỉ được đính kèm tối đa 5 tệp tin</t>
  </si>
  <si>
    <t>acceptIncomingRequest(id, mentorId, message)</t>
  </si>
  <si>
    <t>BadRequestException: Bạn cần đọc và chấp nhận Điều khoản Hướng dẫn &amp; Hỗ trợ trước khi tạo yêu cầu</t>
  </si>
  <si>
    <t>acceptIncomingRequest(id, mentorId)</t>
  </si>
  <si>
    <t>ForbiddenException: Tài khoản của bạn đang bị khóa hoặc chưa được kích hoạt để sử dụng tính năng này</t>
  </si>
  <si>
    <t>declineIncomingRequest(id, mentorId, reason)</t>
  </si>
  <si>
    <t>BadRequestException: Bạn không thể tự gửi yêu cầu cố vấn cho chính bản thân mình</t>
  </si>
  <si>
    <t>declineIncomingRequest(id, mentorId)</t>
  </si>
  <si>
    <t>BadRequestException: Mentor hiện không trong trạng thái hoạt động để tiếp nhận yêu cầu cố vấn mới</t>
  </si>
  <si>
    <t>BadRequestException: Gói hoạt động của Mentor đã hết hạn hoặc chưa được kích hoạt...</t>
  </si>
  <si>
    <t>BadRequestException: Lĩnh vực chuyên môn được chọn không nằm trong danh mục hỗ trợ của Mentor này...</t>
  </si>
  <si>
    <t>ForbiddenException: Chỉ trưởng nhóm mới có quyền tạo yêu cầu Mentoring cho nhóm</t>
  </si>
  <si>
    <t>ForbiddenException: Bạn không có quyền xem yêu cầu cố vấn này</t>
  </si>
  <si>
    <t>Request with accepted / declined / pending responses</t>
  </si>
  <si>
    <t>Paged incoming requests</t>
  </si>
  <si>
    <t>Detail returned</t>
  </si>
  <si>
    <t>Response ACCEPTED and Chat for Task opened</t>
  </si>
  <si>
    <t>Existing chat returned; no duplicate response</t>
  </si>
  <si>
    <t>Response DECLINED</t>
  </si>
  <si>
    <t>ForbiddenException: Bạn không có quyền truy cập yêu cầu này</t>
  </si>
  <si>
    <t>ConflictException: Bạn đã từ chối yêu cầu này trước đó, không thể phản hồi lại</t>
  </si>
  <si>
    <t>ConflictException: Bạn đã chấp nhận yêu cầu này trước đó, không thể thay đổi quyết định</t>
  </si>
  <si>
    <t>BadRequestException: Yêu cầu cố vấn này đã đóng, đã chọn Mentor khác hoặc không còn tiếp nhận phản hồi mới</t>
  </si>
  <si>
    <t>BadRequestException: Yêu cầu đã quá thời hạn mong muốn của Học viên, không thể nhận thêm phản hồi.</t>
  </si>
  <si>
    <t>ForbiddenException: Hồ sơ Mentor của bạn không trong trạng thái hoạt động (ACTIVE) để phản hồi yêu cầu</t>
  </si>
  <si>
    <t>ForbiddenException: Bạn là thành viên của nhóm gửi yêu cầu này nên không thể nhận làm Mentor.</t>
  </si>
  <si>
    <t>Propose, update, confirm, reject, adjust and cancel a Deal Ticket</t>
  </si>
  <si>
    <t>Mentor accepted the request</t>
  </si>
  <si>
    <t>Deal not locked</t>
  </si>
  <si>
    <t>Caller is the student</t>
  </si>
  <si>
    <t>Mentor has not accepted the request</t>
  </si>
  <si>
    <t>Deal is DEAL_CONFIRMED</t>
  </si>
  <si>
    <t>Student confirms latest version</t>
  </si>
  <si>
    <t>Student already confirmed; mentor confirms</t>
  </si>
  <si>
    <t>Newer version exists</t>
  </si>
  <si>
    <t>version is null</t>
  </si>
  <si>
    <t>User already confirmed the version</t>
  </si>
  <si>
    <t>Caller is the mentor</t>
  </si>
  <si>
    <t>Deal is locked</t>
  </si>
  <si>
    <t>Create, check, cancel and confirm a task payment through PayOS</t>
  </si>
  <si>
    <t>Caller is not a participant</t>
  </si>
  <si>
    <t>proposeDeal(valid request)</t>
  </si>
  <si>
    <t>updateDealTerms(dealId, new price)</t>
  </si>
  <si>
    <t>price = 0</t>
  </si>
  <si>
    <t>deadline in the past</t>
  </si>
  <si>
    <t>taskScope blank</t>
  </si>
  <si>
    <t>proposeDeal(request)</t>
  </si>
  <si>
    <t>updateDealTerms(dealId, request)</t>
  </si>
  <si>
    <t>confirmDeal(dealId, version)</t>
  </si>
  <si>
    <t>confirmDeal(dealId, oldVersion)</t>
  </si>
  <si>
    <t>confirmDeal(dealId, null)</t>
  </si>
  <si>
    <t>rejectDeal(dealId, reason)</t>
  </si>
  <si>
    <t>cancelDeal(dealId, reason)</t>
  </si>
  <si>
    <t>getDealDetail(dealId, userId)</t>
  </si>
  <si>
    <t>Deal DEAL_CONFIRMED; caller is the student</t>
  </si>
  <si>
    <t>My tasks, task detail and work-log lifecycle</t>
  </si>
  <si>
    <t>A PENDING transaction exists</t>
  </si>
  <si>
    <t>Deadline extension, task amendment, stop-task proposal and completion</t>
  </si>
  <si>
    <t>Deal not confirmed</t>
  </si>
  <si>
    <t>Deal version 1 created</t>
  </si>
  <si>
    <t>Task already activated</t>
  </si>
  <si>
    <t>New version created; previous version superseded</t>
  </si>
  <si>
    <t>Deal deadline passed</t>
  </si>
  <si>
    <t>Deal created with price 0</t>
  </si>
  <si>
    <t>PayOS reports PAID</t>
  </si>
  <si>
    <t>Student confirmation recorded</t>
  </si>
  <si>
    <t>Caller is not the payer</t>
  </si>
  <si>
    <t>Deal becomes DEAL_CONFIRMED and snapshot locked</t>
  </si>
  <si>
    <t>Transaction PENDING</t>
  </si>
  <si>
    <t>Deal rejected</t>
  </si>
  <si>
    <t>Transaction PAID</t>
  </si>
  <si>
    <t>Valid PAID webhook</t>
  </si>
  <si>
    <t>Same webhook received twice</t>
  </si>
  <si>
    <t>BadRequestException: Hạn chót hoàn thành (Deadline) phải là một thời điểm trong tương lai.</t>
  </si>
  <si>
    <t>Webhook with wrong signature</t>
  </si>
  <si>
    <t>Validation error: Phạm vi công việc (Task Scope) không được để trống.</t>
  </si>
  <si>
    <t>ForbiddenException: Chỉ Mentor trong cuộc trò chuyện mới được gửi thỏa thuận...</t>
  </si>
  <si>
    <t>createTaskPayment(dealId, studentId)</t>
  </si>
  <si>
    <t>ForbiddenException: Bạn cần chấp nhận (ACCEPT) Request trước khi gửi Deal Ticket.</t>
  </si>
  <si>
    <t>ConflictException: Deal Ticket đã được hai bên xác nhận và khóa, không thể tạo phiên bản mới.</t>
  </si>
  <si>
    <t>createTaskPayment(dealId, mentorId)</t>
  </si>
  <si>
    <t>checkTaskPaymentStatus(orderCode, studentId)</t>
  </si>
  <si>
    <t>ConflictException: version mismatch</t>
  </si>
  <si>
    <t>checkTaskPaymentStatus(orderCode, otherId)</t>
  </si>
  <si>
    <t>BadRequestException: Phiên bản Deal Ticket cần xác nhận (version) không được để trống.</t>
  </si>
  <si>
    <t>BadRequestException: Bạn đã xác nhận phiên bản thỏa thuận này rồi.</t>
  </si>
  <si>
    <t>User has 3 tasks</t>
  </si>
  <si>
    <t>cancelTaskPayment(orderCode, studentId)</t>
  </si>
  <si>
    <t>ForbiddenException: Chỉ Học viên mới có quyền ... Deal Ticket.</t>
  </si>
  <si>
    <t>handleVerifiedWebhook(data)</t>
  </si>
  <si>
    <t>User is not a participant</t>
  </si>
  <si>
    <t>ConflictException: Không thể hủy thỏa thuận đã được cả hai bên xác nhận và khóa snapshot.</t>
  </si>
  <si>
    <t>handlePayOSWebhook(payload)</t>
  </si>
  <si>
    <t>Caller is the task mentor; task PREPARATION</t>
  </si>
  <si>
    <t>ForbiddenException: Bạn không có quyền xem thỏa thuận Deal này.</t>
  </si>
  <si>
    <t>Task IN_PROGRESS</t>
  </si>
  <si>
    <t>Task COMPLETED / CANCELLED / DISPUTED</t>
  </si>
  <si>
    <t>PayOS link and QR returned; transaction PENDING</t>
  </si>
  <si>
    <t>Work log not confirmed</t>
  </si>
  <si>
    <t>Task IN_PROGRESS; caller is mentor</t>
  </si>
  <si>
    <t>Same transaction returned</t>
  </si>
  <si>
    <t>Work log CONFIRMED</t>
  </si>
  <si>
    <t>Transaction PAID; Task created in PREPARATION; escrow ledger saved</t>
  </si>
  <si>
    <t>Caller is the student; log submitted</t>
  </si>
  <si>
    <t>Transaction CANCELLED</t>
  </si>
  <si>
    <t>Task activated and other deals of the request closed</t>
  </si>
  <si>
    <t>Second call ignored; one task and one ledger entry</t>
  </si>
  <si>
    <t>Log already CONFIRMED</t>
  </si>
  <si>
    <t>Extension PENDING; caller is the receiver</t>
  </si>
  <si>
    <t>ForbiddenException: Chỉ có Học viên (Student) tham gia Deal mới có quyền thực hiện thanh toán nhiệm vụ này.</t>
  </si>
  <si>
    <t>Extension PENDING</t>
  </si>
  <si>
    <t>Log submitted</t>
  </si>
  <si>
    <t>ConflictException: Thỏa thuận Deal chưa được cả hai bên xác nhận hoàn tất (DEAL_CONFIRMED). Không thể thanh toán.</t>
  </si>
  <si>
    <t>ConflictException: Thỏa thuận Deal này đã được thanh toán và kích hoạt Task trước đó rồi.</t>
  </si>
  <si>
    <t>Extension already processed</t>
  </si>
  <si>
    <t>Log CONFIRMED</t>
  </si>
  <si>
    <t>ConflictException: Deadline của thỏa thuận đã qua...</t>
  </si>
  <si>
    <t>Proposed deadline already passed</t>
  </si>
  <si>
    <t>ForbiddenException: Bạn không có quyền xem thông tin giao dịch thanh toán này.</t>
  </si>
  <si>
    <t>getMyTasks(userId, stage, page 0)</t>
  </si>
  <si>
    <t>ConflictException: Không thể hủy giao dịch đã thanh toán thành công.</t>
  </si>
  <si>
    <t>BadRequestException: Chữ ký Webhook PayOS không hợp lệ.</t>
  </si>
  <si>
    <t>getTaskDetail(taskId, userId)</t>
  </si>
  <si>
    <t>Amendment with extra amount</t>
  </si>
  <si>
    <t>createWorkLog(valid request)</t>
  </si>
  <si>
    <t>description / result with 5 and 5000 characters</t>
  </si>
  <si>
    <t>Amendment without extra amount</t>
  </si>
  <si>
    <t>description with 4 characters</t>
  </si>
  <si>
    <t>Escrow 1,000,000</t>
  </si>
  <si>
    <t>nextAction with 2001 characters</t>
  </si>
  <si>
    <t>Student has no refund account</t>
  </si>
  <si>
    <t>createWorkLog(request)</t>
  </si>
  <si>
    <t>Caller is task mentor; task IN_PROGRESS</t>
  </si>
  <si>
    <t>updateWorkLog(logId, request)</t>
  </si>
  <si>
    <t>confirmWorkLog(logId)</t>
  </si>
  <si>
    <t>rejectWorkLog(logId, reason 'Cần bổ sung')</t>
  </si>
  <si>
    <t>Completion PENDING; caller is the student</t>
  </si>
  <si>
    <t>rejectWorkLog(logId, reason '')</t>
  </si>
  <si>
    <t>Completion PENDING</t>
  </si>
  <si>
    <t>rejectWorkLog(logId, reason)</t>
  </si>
  <si>
    <t>Completion not PENDING</t>
  </si>
  <si>
    <t>createDeadlineExtension(newDeadline &gt; current, reason &gt;= 10)</t>
  </si>
  <si>
    <t>proposedDeadline &lt;= current deadline</t>
  </si>
  <si>
    <t>Page of tasks with progress</t>
  </si>
  <si>
    <t>reason with 9 characters</t>
  </si>
  <si>
    <t>Work log saved; task becomes IN_PROGRESS</t>
  </si>
  <si>
    <t>respondDeadlineExtension(accept=true)</t>
  </si>
  <si>
    <t>Work log saved</t>
  </si>
  <si>
    <t>respondDeadlineExtension(accept=false)</t>
  </si>
  <si>
    <t>Revision number +1 and snapshot saved</t>
  </si>
  <si>
    <t>respondDeadlineExtension(...)</t>
  </si>
  <si>
    <t>Idempotent: no change</t>
  </si>
  <si>
    <t>createDeadlineExtension(request)</t>
  </si>
  <si>
    <t>Work log marked as needing change</t>
  </si>
  <si>
    <t>createTaskAmendment(additionalAmount=100000)</t>
  </si>
  <si>
    <t>ForbiddenException: Bạn không có quyền truy cập thông tin của Mentoring Task này.</t>
  </si>
  <si>
    <t>additionalAmount = -1</t>
  </si>
  <si>
    <t>Validation error: Mô tả công việc phải từ 5 đến 5000 ký tự.</t>
  </si>
  <si>
    <t>amendment without any change</t>
  </si>
  <si>
    <t>Validation error: Hành động tiếp theo không vượt quá 2000 ký tự.</t>
  </si>
  <si>
    <t>respondTaskAmendment(accept=true)</t>
  </si>
  <si>
    <t>ForbiddenException: Học viên không có quyền tạo nhật ký công việc (chỉ Mentor phụ trách mới có quyền).</t>
  </si>
  <si>
    <t>createSettlementProposal(mentor=600000, refund=400000, reason)</t>
  </si>
  <si>
    <t>ConflictException: Mentoring Task đã hoàn thành / bị hủy / đang trong tranh chấp...</t>
  </si>
  <si>
    <t>ConflictException: Không thể chỉnh sửa nhật ký công việc đã được học viên xác nhận nghiệm thu.</t>
  </si>
  <si>
    <t>createSettlementProposal(mentor=600000, refund=300000)</t>
  </si>
  <si>
    <t>ForbiddenException: Chỉ học viên của Mentoring Task mới có quyền xác nhận nghiệm thu nhật ký công việc.</t>
  </si>
  <si>
    <t>createSettlementProposal(refund &gt; 0)</t>
  </si>
  <si>
    <t>BadRequestException: Vui lòng nhập lý do hoặc nội dung yêu cầu điều chỉnh cho Mentor (tối thiểu 5 ký tự).</t>
  </si>
  <si>
    <t>submitCompletion(finalSummary, deliverables)</t>
  </si>
  <si>
    <t>ConflictException: Nhật ký công việc đã được nghiệm thu thành công, không thể yêu cầu điều chỉnh.</t>
  </si>
  <si>
    <t>submitCompletion(request)</t>
  </si>
  <si>
    <t>finalSummary with 10 / 3000 characters</t>
  </si>
  <si>
    <t>finalSummary with 3001 characters</t>
  </si>
  <si>
    <t>respondCompletion(accept=true)</t>
  </si>
  <si>
    <t>respondCompletion(accept=false, reason)</t>
  </si>
  <si>
    <t>respondCompletion(...)</t>
  </si>
  <si>
    <t>Extension ticket PENDING; older pending ones SUPERSEDED</t>
  </si>
  <si>
    <t>Task deadline updated; ticket CONFIRMED</t>
  </si>
  <si>
    <t>Ticket REJECTED; deadline unchanged</t>
  </si>
  <si>
    <t>Amendment PENDING</t>
  </si>
  <si>
    <t>Amendment AWAITING_TOPUP</t>
  </si>
  <si>
    <t>Amendment APPLIED immediately</t>
  </si>
  <si>
    <t>Proposal PENDING</t>
  </si>
  <si>
    <t>Completion SUBMITTED</t>
  </si>
  <si>
    <t>Completion saved</t>
  </si>
  <si>
    <t>Task COMPLETED; mentor stats updated; payout queued</t>
  </si>
  <si>
    <t>Completion rejected with reason</t>
  </si>
  <si>
    <t>BadRequestException: Hạn chót đề xuất phải sau hạn chót hiện tại (...)</t>
  </si>
  <si>
    <t>Validation error: Vui lòng nêu lý do gia hạn (tối thiểu 10 ký tự).</t>
  </si>
  <si>
    <t>ConflictException: Ticket gia hạn này đã được xử lý hoặc không còn hiệu lực.</t>
  </si>
  <si>
    <t>ConflictException: Hạn chót đề xuất đã qua. Mentor cần gửi đề xuất gia hạn mới.</t>
  </si>
  <si>
    <t>BadRequestException: Task đã hoàn thành / bị hủy / đang trong trạng thái tranh chấp...</t>
  </si>
  <si>
    <t>BadRequestException: Số tiền bổ sung không được âm.</t>
  </si>
  <si>
    <t>BadRequestException: Đề xuất điều chỉnh chưa có thay đổi nào so với Task hiện tại.</t>
  </si>
  <si>
    <t>BadRequestException: Tổng số tiền phân chia (...) phải bằng đúng số tiền đang giữ trong quỹ Task (...)</t>
  </si>
  <si>
    <t>BadRequestException: Vui lòng khai báo tài khoản nhận hoàn tiền (mục Hoàn tiền) trước khi gửi hoặc đồng ý thỏa thuận dừng Task có hoàn tiền.</t>
  </si>
  <si>
    <t>ForbiddenException: Chỉ Cố vấn (Mentor) phụ trách nhiệm vụ này mới có quyền nộp kết quả nghiệm thu.</t>
  </si>
  <si>
    <t>Validation error: Mô tả kết quả cuối cùng không vượt quá 3000 ký tự</t>
  </si>
  <si>
    <t>ConflictException: Biên bản nghiệm thu này không ở trạng thái chờ phản hồi (PENDING).</t>
  </si>
  <si>
    <t>Submit settlement ticket, create dispute ticket and add evidence</t>
  </si>
  <si>
    <t>Task report, review a mentor and reputation points</t>
  </si>
  <si>
    <t>Participant of the task</t>
  </si>
  <si>
    <t>Proposal ACCEPTED by both sides; amounts equal escrow</t>
  </si>
  <si>
    <t>Proposal still pending</t>
  </si>
  <si>
    <t>Proposal belongs to another task</t>
  </si>
  <si>
    <t>Proposal id 99 does not exist</t>
  </si>
  <si>
    <t>Participant; task COMPLETED with ledgers</t>
  </si>
  <si>
    <t>Active ticket exists</t>
  </si>
  <si>
    <t>Task IN_PROGRESS; participant</t>
  </si>
  <si>
    <t>Task id 99 does not exist</t>
  </si>
  <si>
    <t>Task COMPLETED</t>
  </si>
  <si>
    <t>Student; task COMPLETED</t>
  </si>
  <si>
    <t>Consecutive high ratings</t>
  </si>
  <si>
    <t>Ticket OPEN; participant</t>
  </si>
  <si>
    <t>Task already reviewed</t>
  </si>
  <si>
    <t>Ticket RESOLVED</t>
  </si>
  <si>
    <t>Task not COMPLETED</t>
  </si>
  <si>
    <t>Mentor profile exists</t>
  </si>
  <si>
    <t>getSettlementSnapshot(userId, taskId)</t>
  </si>
  <si>
    <t>submitSettlementTicket(userId, taskId, proposalId)</t>
  </si>
  <si>
    <t>Create / update mentoring groups, invitations and membership</t>
  </si>
  <si>
    <t>getTaskReport(userId, taskId)</t>
  </si>
  <si>
    <t>submitSettlementTicket(...)</t>
  </si>
  <si>
    <t>getTaskReport(userId, 99)</t>
  </si>
  <si>
    <t>submitSettlementTicket(..., 99)</t>
  </si>
  <si>
    <t>submitMentorReview(rating=5)</t>
  </si>
  <si>
    <t>createDisputeTicket(valid request with 1 evidence)</t>
  </si>
  <si>
    <t>createDisputeTicket(request)</t>
  </si>
  <si>
    <t>submitMentorReview(rating=3)</t>
  </si>
  <si>
    <t>addTicketEvidence(ticketId, evidence)</t>
  </si>
  <si>
    <t>submitMentorReview(rating=1)</t>
  </si>
  <si>
    <t>rating = 1 and rating = 5</t>
  </si>
  <si>
    <t>rating = 0 / 6</t>
  </si>
  <si>
    <t>getTicketEvidences(userId, ticketId)</t>
  </si>
  <si>
    <t>submitMentorReview(...)</t>
  </si>
  <si>
    <t>applyPenalty(profileId, reason)</t>
  </si>
  <si>
    <t>recordTaskCompleted(mentor)</t>
  </si>
  <si>
    <t>Escrow, mentor amount, refund and proposal returned</t>
  </si>
  <si>
    <t>Ticket ST-YYYYMMDD-xxxx OPEN; task CANCELLED</t>
  </si>
  <si>
    <t>Report with summary, work logs, escrow, payout and refund</t>
  </si>
  <si>
    <t>ACTIVE student; 2 active invitees</t>
  </si>
  <si>
    <t>Ticket DP-YYYYMMDD-xxxxxx OPEN; task DISPUTED; evidence saved</t>
  </si>
  <si>
    <t>Review saved; reputation +10</t>
  </si>
  <si>
    <t>Evidence saved and system message posted</t>
  </si>
  <si>
    <t>ACTIVE student</t>
  </si>
  <si>
    <t>Review saved; reputation +0</t>
  </si>
  <si>
    <t>Invitee is locked</t>
  </si>
  <si>
    <t>BadRequestException: Thỏa thuận phân chia tiền chưa được cả hai bên xác nhận đồng thuận.</t>
  </si>
  <si>
    <t>Review saved; reputation -25</t>
  </si>
  <si>
    <t>BadRequestException: Thỏa thuận phân chia tiền không thuộc về nhiệm vụ Task được chỉ định.</t>
  </si>
  <si>
    <t>Accepted</t>
  </si>
  <si>
    <t>Caller is the leader</t>
  </si>
  <si>
    <t>Streak bonus added</t>
  </si>
  <si>
    <t>ResourceNotFoundException: Không tìm thấy thỏa thuận phân chia tiền với ID: 99</t>
  </si>
  <si>
    <t>Caller is a member</t>
  </si>
  <si>
    <t>ConflictException: ticket already open</t>
  </si>
  <si>
    <t>Reputation score decreased and event recorded</t>
  </si>
  <si>
    <t>BadRequestException: completed task cannot be disputed</t>
  </si>
  <si>
    <t>Group is closed</t>
  </si>
  <si>
    <t>Completed-task count +1</t>
  </si>
  <si>
    <t>ForbiddenException: Bạn không phải người tham gia (Student/Mentor) của Task này.</t>
  </si>
  <si>
    <t>Invitation pending; caller is invitee</t>
  </si>
  <si>
    <t>BadRequestException: ticket is closed</t>
  </si>
  <si>
    <t>Invitation of another user</t>
  </si>
  <si>
    <t>ForbiddenException: no access to this ticket</t>
  </si>
  <si>
    <t>Invitation already processed</t>
  </si>
  <si>
    <t>ResourceNotFoundException: Không tìm thấy Mentoring Task với ID: 99</t>
  </si>
  <si>
    <t>Validation error: rating must be between 1 and 5</t>
  </si>
  <si>
    <t>Invitation pending; caller is leader</t>
  </si>
  <si>
    <t>ConflictException: task already reviewed</t>
  </si>
  <si>
    <t>No open request / task</t>
  </si>
  <si>
    <t>BadRequestException: task is not completed</t>
  </si>
  <si>
    <t>Group has an open request or active task</t>
  </si>
  <si>
    <t>createGroup(name='Team', memberIds=[2,3])</t>
  </si>
  <si>
    <t>name blank</t>
  </si>
  <si>
    <t>memberIds = []</t>
  </si>
  <si>
    <t>memberIds = [2,2]</t>
  </si>
  <si>
    <t>memberIds contains leader</t>
  </si>
  <si>
    <t>createGroup(...)</t>
  </si>
  <si>
    <t>updateGroup(groupId, name)</t>
  </si>
  <si>
    <t>invite(groupId, [4])</t>
  </si>
  <si>
    <t>acceptInvitation(invitationId, userId)</t>
  </si>
  <si>
    <t>cancelInvitation(invitationId, leaderId)</t>
  </si>
  <si>
    <t>leaveGroup(groupId, leaderId)</t>
  </si>
  <si>
    <t>deleteGroup(groupId, leaderId)</t>
  </si>
  <si>
    <t>Group created; leader set; 2 invitations sent</t>
  </si>
  <si>
    <t>Group updated</t>
  </si>
  <si>
    <t>Member becomes active; leader notified</t>
  </si>
  <si>
    <t>Invitation cancelled and invitee notified</t>
  </si>
  <si>
    <t>Member leaves and leader notified</t>
  </si>
  <si>
    <t>Group dissolved and members notified</t>
  </si>
  <si>
    <t>BadRequestException: Tên nhóm không được để trống</t>
  </si>
  <si>
    <t>BadRequestException: Mentoring nhóm cần ít nhất một thành viên ngoài trưởng nhóm</t>
  </si>
  <si>
    <t>BadRequestException: Danh sách thành viên bị trùng</t>
  </si>
  <si>
    <t>BadRequestException: Trưởng nhóm không thể tự mời chính mình</t>
  </si>
  <si>
    <t>BadRequestException: Chỉ có thể mời tài khoản đang hoạt động</t>
  </si>
  <si>
    <t>ForbiddenException: Chỉ sinh viên hoặc cựu sinh viên mới có quyền tạo nhóm Mentoring</t>
  </si>
  <si>
    <t>ForbiddenException: Chỉ trưởng nhóm mới có quyền chỉnh sửa thông tin nhóm</t>
  </si>
  <si>
    <t>BadRequestException: Nhóm đã đóng, không thể gửi thêm lời mời</t>
  </si>
  <si>
    <t>ForbiddenException: Lời mời này không thuộc về tài khoản của bạn</t>
  </si>
  <si>
    <t>BadRequestException: Lời mời không còn hiệu lực</t>
  </si>
  <si>
    <t>BadRequestException: Trưởng nhóm không thể rời nhóm khi chưa chuyển giao quyền hoặc đóng nhóm</t>
  </si>
  <si>
    <t>BadRequestException: Nhóm đang có yêu cầu hoặc nhiệm vụ mentoring chưa kết thúc. Hãy hủy yêu cầu hoặc hoàn tất nhiệm vụ trước khi giải tán nhóm.</t>
  </si>
  <si>
    <t>Admin ticket list / detail, accept ticket, context and discussion</t>
  </si>
  <si>
    <t>Admin; tickets exist</t>
  </si>
  <si>
    <t>Ticket exists</t>
  </si>
  <si>
    <t>Ticket OPEN</t>
  </si>
  <si>
    <t>Ticket handled by another admin</t>
  </si>
  <si>
    <t>Ticket RESOLVED / REJECTED / CANCELLED</t>
  </si>
  <si>
    <t>Caller is not an admin</t>
  </si>
  <si>
    <t>Ticket IN_REVIEW with evidences</t>
  </si>
  <si>
    <t>Caller is a party of the ticket</t>
  </si>
  <si>
    <t>Ticket IN_REVIEW; caller is admin</t>
  </si>
  <si>
    <t>Ticket IN_REVIEW; caller is the student</t>
  </si>
  <si>
    <t>Caller is unrelated</t>
  </si>
  <si>
    <t>getAdminTickets(status, type, keyword, page 0)</t>
  </si>
  <si>
    <t>getAdminTicketDetail(adminId, ticketId)</t>
  </si>
  <si>
    <t>acceptTicket(adminId, ticketId)</t>
  </si>
  <si>
    <t>getAdminTickets(userId, ...)</t>
  </si>
  <si>
    <t>getAdminDisputeContext(adminId, ticketId)</t>
  </si>
  <si>
    <t>getTicketMessages(userId, ticketId)</t>
  </si>
  <si>
    <t>sendTicketMessage(content)</t>
  </si>
  <si>
    <t>Admin mentor list / CV, mentor plans and revenue overview</t>
  </si>
  <si>
    <t>Admin decides ticket resolution; task funds and ledgers</t>
  </si>
  <si>
    <t>Filtered page of tickets</t>
  </si>
  <si>
    <t>Ticket detail returned</t>
  </si>
  <si>
    <t>Status IN_REVIEW; handler and acceptedAt set; parties notified</t>
  </si>
  <si>
    <t>Context with evidence counts, deadlines, work logs and escrow</t>
  </si>
  <si>
    <t>Messages ordered by time</t>
  </si>
  <si>
    <t>Message saved, broadcast via WebSocket, both parties notified</t>
  </si>
  <si>
    <t>Message saved with senderRole STUDENT</t>
  </si>
  <si>
    <t>BadRequestException: ticket is already handled by &lt;admin name&gt;</t>
  </si>
  <si>
    <t>ForbiddenException: admin only</t>
  </si>
  <si>
    <t>Mentor has a CV</t>
  </si>
  <si>
    <t>Mentor has no CV</t>
  </si>
  <si>
    <t>Ticket IN_REVIEW; escrow 1,000,000</t>
  </si>
  <si>
    <t>Plans exist</t>
  </si>
  <si>
    <t>Ticket DISPUTE IN_REVIEW</t>
  </si>
  <si>
    <t>Plan id 1 exists</t>
  </si>
  <si>
    <t>Ticket IN_REVIEW</t>
  </si>
  <si>
    <t>Plan id 99 does not exist</t>
  </si>
  <si>
    <t>Subscription revenue and resolved dispute fees exist</t>
  </si>
  <si>
    <t>No transaction in range</t>
  </si>
  <si>
    <t>Ticket resolved</t>
  </si>
  <si>
    <t>from is after to</t>
  </si>
  <si>
    <t>Tasks with ledger entries</t>
  </si>
  <si>
    <t>getMentorList(status, keyword, page 0)</t>
  </si>
  <si>
    <t>Task has escrow, payout and refund entries</t>
  </si>
  <si>
    <t>getMentorCv(mentorId)</t>
  </si>
  <si>
    <t>updatePackage(1, price, status, name, description)</t>
  </si>
  <si>
    <t>decision FULL_MENTOR_PAYMENT</t>
  </si>
  <si>
    <t>updatePackage(99, request)</t>
  </si>
  <si>
    <t>decision FULL_STUDENT_REFUND</t>
  </si>
  <si>
    <t>getOverview(from, to)</t>
  </si>
  <si>
    <t>split mentor=500000, refund=400000, fee=100000</t>
  </si>
  <si>
    <t>split amounts sum != escrow</t>
  </si>
  <si>
    <t>disputeFee = -1</t>
  </si>
  <si>
    <t>resolveTicket(...)</t>
  </si>
  <si>
    <t>getTaskFunds(adminId, filter, page 0)</t>
  </si>
  <si>
    <t>getTaskFundDetail(adminId, taskId)</t>
  </si>
  <si>
    <t>Filtered page of mentors</t>
  </si>
  <si>
    <t>getTaskFunds(userId, ...)</t>
  </si>
  <si>
    <t>CV file information returned</t>
  </si>
  <si>
    <t>All plans including inactive ones</t>
  </si>
  <si>
    <t>Plan updated</t>
  </si>
  <si>
    <t>Total = subscription revenue + dispute fees; 12-month series; escrow holding; growth %</t>
  </si>
  <si>
    <t>Totals are 0</t>
  </si>
  <si>
    <t>Ticket RESOLVED; task COMPLETED; PAYOUT ledger queued</t>
  </si>
  <si>
    <t>ResourceNotFoundException: CV not found</t>
  </si>
  <si>
    <t>Task CANCELLED; REFUND ledger queued; mentor penalty applied</t>
  </si>
  <si>
    <t>ResourceNotFoundException: Không tìm thấy gói Mentor với ID: 99</t>
  </si>
  <si>
    <t>Task RESOLVED; PAYOUT and REFUND ledgers queued</t>
  </si>
  <si>
    <t>BadRequestException: invalid date range</t>
  </si>
  <si>
    <t>System message with the decision posted; both parties notified</t>
  </si>
  <si>
    <t>Page of task fund summaries</t>
  </si>
  <si>
    <t>Ledger entries and held escrow returned</t>
  </si>
  <si>
    <t>BadRequestException: total allocation must equal the escrow</t>
  </si>
  <si>
    <t>BadRequestException: dispute fee must not be negative</t>
  </si>
  <si>
    <t>ConflictException: Ticket này đã được giải quyết phán quyết trước đó rồi.</t>
  </si>
  <si>
    <t>ForbiddenException: not the handling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</si>
</sst>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mm/dd"/>
  </numFmts>
  <fonts count="30">
    <font>
      <sz val="11.0"/>
      <color theme="1"/>
      <name val="Calibri"/>
      <scheme val="minor"/>
    </font>
    <font>
      <sz val="10.0"/>
      <color theme="1"/>
      <name val="Tahoma"/>
    </font>
    <font>
      <b/>
      <sz val="18.0"/>
      <color theme="1"/>
      <name val="Tahoma"/>
    </font>
    <font>
      <b/>
      <sz val="11.0"/>
      <color theme="1"/>
      <name val="Tahoma"/>
    </font>
    <font>
      <b/>
      <sz val="20.0"/>
      <color rgb="FF000000"/>
      <name val="Tahoma"/>
    </font>
    <font>
      <b/>
      <sz val="12.0"/>
      <color theme="1"/>
      <name val="Tahoma"/>
    </font>
    <font>
      <b/>
      <sz val="14.0"/>
      <color theme="1"/>
      <name val="Tahoma"/>
    </font>
    <font/>
    <font>
      <b/>
      <sz val="10.0"/>
      <color theme="1"/>
      <name val="Tahoma"/>
    </font>
    <font>
      <sz val="11.0"/>
      <color theme="1"/>
      <name val="Tahoma"/>
    </font>
    <font>
      <b/>
      <sz val="10.0"/>
      <color rgb="FF000000"/>
      <name val="Tahoma"/>
    </font>
    <font>
      <b/>
      <sz val="26.0"/>
      <color rgb="FFFF0000"/>
      <name val="Tahoma"/>
    </font>
    <font>
      <b/>
      <sz val="10.0"/>
      <color rgb="FFFF0000"/>
      <name val="Tahoma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1.0"/>
      <color rgb="FF0000FF"/>
      <name val="Tahoma"/>
    </font>
    <font>
      <sz val="10.0"/>
      <color rgb="FFFFFFFF"/>
      <name val="Tahoma"/>
    </font>
    <font>
      <b/>
      <sz val="11.0"/>
      <color rgb="FFFFFFFF"/>
      <name val="Tahoma"/>
    </font>
    <font>
      <sz val="10.0"/>
      <color rgb="FF000000"/>
      <name val="Tahoma"/>
    </font>
    <font>
      <sz val="8.0"/>
      <color theme="1"/>
      <name val="Tahoma"/>
    </font>
    <font>
      <b/>
      <sz val="8.0"/>
      <color theme="1"/>
      <name val="Tahoma"/>
    </font>
    <font>
      <i/>
      <sz val="8.0"/>
      <color theme="1"/>
      <name val="Tahoma"/>
    </font>
    <font>
      <b/>
      <sz val="8.0"/>
      <color rgb="FFFFFFFF"/>
      <name val="Tahoma"/>
    </font>
    <font>
      <sz val="8.0"/>
      <color rgb="FFFFFFFF"/>
      <name val="Tahoma"/>
    </font>
    <font>
      <sz val="8.0"/>
      <color rgb="FF00800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</fills>
  <borders count="76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right/>
      <top/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hair">
        <color rgb="FF000000"/>
      </right>
      <bottom style="thin">
        <color rgb="FF000000"/>
      </bottom>
    </border>
    <border>
      <left/>
      <right/>
      <bottom/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center"/>
    </xf>
    <xf borderId="0" fillId="0" fontId="1" numFmtId="0" xfId="0" applyFont="1"/>
    <xf borderId="1" fillId="2" fontId="1" numFmtId="1" xfId="0" applyBorder="1" applyFill="1" applyFont="1" applyNumberFormat="1"/>
    <xf borderId="1" fillId="3" fontId="3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ill="1" applyFont="1">
      <alignment horizontal="left" shrinkToFit="0" wrapText="1"/>
    </xf>
    <xf borderId="1" fillId="3" fontId="5" numFmtId="0" xfId="0" applyAlignment="1" applyBorder="1" applyFill="1" applyFont="1">
      <alignment horizontal="left"/>
    </xf>
    <xf borderId="2" fillId="2" fontId="4" numFmtId="0" xfId="0" applyAlignment="1" applyBorder="1" applyFill="1" applyFont="1">
      <alignment horizontal="center"/>
    </xf>
    <xf borderId="1" fillId="3" fontId="6" numFmtId="0" xfId="0" applyAlignment="1" applyBorder="1" applyFill="1" applyFont="1">
      <alignment vertical="center"/>
    </xf>
    <xf borderId="3" fillId="0" fontId="7" numFmtId="0" xfId="0" applyBorder="1" applyFont="1"/>
    <xf borderId="1" fillId="3" fontId="1" numFmtId="0" xfId="0" applyAlignment="1" applyBorder="1" applyFill="1" applyFont="1">
      <alignment horizontal="left"/>
    </xf>
    <xf borderId="1" fillId="2" fontId="8" numFmtId="0" xfId="0" applyBorder="1" applyFill="1" applyFont="1"/>
    <xf borderId="1" fillId="3" fontId="9" numFmtId="0" xfId="0" applyAlignment="1" applyBorder="1" applyFill="1" applyFont="1">
      <alignment vertical="center"/>
    </xf>
    <xf borderId="1" fillId="2" fontId="4" numFmtId="0" xfId="0" applyAlignment="1" applyBorder="1" applyFill="1" applyFont="1">
      <alignment horizontal="left"/>
    </xf>
    <xf borderId="1" fillId="2" fontId="10" numFmtId="0" xfId="0" applyAlignment="1" applyBorder="1" applyFill="1" applyFont="1">
      <alignment horizontal="left"/>
    </xf>
    <xf borderId="1" fillId="2" fontId="1" numFmtId="164" xfId="0" applyBorder="1" applyFill="1" applyFont="1" applyNumberFormat="1"/>
    <xf borderId="1" fillId="3" fontId="1" numFmtId="0" xfId="0" applyAlignment="1" applyBorder="1" applyFill="1" applyFont="1">
      <alignment horizontal="left" shrinkToFit="0" wrapText="1"/>
    </xf>
    <xf borderId="4" fillId="0" fontId="11" numFmtId="0" xfId="0" applyAlignment="1" applyBorder="1" applyFont="1">
      <alignment horizontal="center" vertical="center"/>
    </xf>
    <xf borderId="5" fillId="2" fontId="8" numFmtId="0" xfId="0" applyAlignment="1" applyBorder="1" applyFill="1" applyFont="1">
      <alignment horizontal="left" vertical="center"/>
    </xf>
    <xf borderId="1" fillId="2" fontId="12" numFmtId="0" xfId="0" applyAlignment="1" applyBorder="1" applyFill="1" applyFont="1">
      <alignment horizontal="left"/>
    </xf>
    <xf borderId="4" fillId="2" fontId="13" numFmtId="0" xfId="0" applyAlignment="1" applyBorder="1" applyFill="1" applyFont="1">
      <alignment horizontal="left"/>
    </xf>
    <xf borderId="4" fillId="0" fontId="4" numFmtId="0" xfId="0" applyAlignment="1" applyBorder="1" applyFont="1">
      <alignment horizontal="center" vertical="center"/>
    </xf>
    <xf borderId="6" fillId="0" fontId="7" numFmtId="0" xfId="0" applyBorder="1" applyFont="1"/>
    <xf borderId="4" fillId="2" fontId="8" numFmtId="1" xfId="0" applyBorder="1" applyFill="1" applyFont="1" applyNumberFormat="1"/>
    <xf borderId="7" fillId="0" fontId="7" numFmtId="0" xfId="0" applyBorder="1" applyFont="1"/>
    <xf borderId="1" fillId="3" fontId="13" numFmtId="0" xfId="0" applyAlignment="1" applyBorder="1" applyFill="1" applyFont="1">
      <alignment horizontal="left"/>
    </xf>
    <xf borderId="4" fillId="2" fontId="8" numFmtId="0" xfId="0" applyAlignment="1" applyBorder="1" applyFill="1" applyFont="1">
      <alignment horizontal="left"/>
    </xf>
    <xf borderId="1" fillId="3" fontId="14" numFmtId="0" xfId="0" applyAlignment="1" applyBorder="1" applyFill="1" applyFont="1">
      <alignment vertical="center"/>
    </xf>
    <xf borderId="0" fillId="0" fontId="1" numFmtId="0" xfId="0" applyAlignment="1" applyFont="1">
      <alignment horizontal="center" vertical="center"/>
    </xf>
    <xf borderId="4" fillId="2" fontId="8" numFmtId="0" xfId="0" applyAlignment="1" applyBorder="1" applyFill="1" applyFont="1">
      <alignment horizontal="center"/>
    </xf>
    <xf borderId="1" fillId="3" fontId="8" numFmtId="0" xfId="0" applyAlignment="1" applyBorder="1" applyFill="1" applyFont="1">
      <alignment horizontal="left"/>
    </xf>
    <xf borderId="1" fillId="2" fontId="15" numFmtId="0" xfId="0" applyAlignment="1" applyBorder="1" applyFill="1" applyFont="1">
      <alignment horizontal="left"/>
    </xf>
    <xf borderId="1" fillId="3" fontId="5" numFmtId="0" xfId="0" applyAlignment="1" applyBorder="1" applyFill="1" applyFont="1">
      <alignment vertical="center"/>
    </xf>
    <xf borderId="0" fillId="0" fontId="16" numFmtId="0" xfId="0" applyAlignment="1" applyFont="1">
      <alignment horizontal="left"/>
    </xf>
    <xf borderId="5" fillId="2" fontId="8" numFmtId="0" xfId="0" applyAlignment="1" applyBorder="1" applyFill="1" applyFont="1">
      <alignment vertical="center"/>
    </xf>
    <xf borderId="5" fillId="2" fontId="8" numFmtId="0" xfId="0" applyAlignment="1" applyBorder="1" applyFill="1" applyFont="1">
      <alignment horizontal="left"/>
    </xf>
    <xf borderId="4" fillId="2" fontId="8" numFmtId="1" xfId="0" applyAlignment="1" applyBorder="1" applyFill="1" applyFont="1" applyNumberFormat="1">
      <alignment horizontal="left"/>
    </xf>
    <xf borderId="8" fillId="2" fontId="13" numFmtId="0" xfId="0" applyAlignment="1" applyBorder="1" applyFill="1" applyFont="1">
      <alignment horizontal="left"/>
    </xf>
    <xf borderId="4" fillId="0" fontId="13" numFmtId="0" xfId="0" applyAlignment="1" applyBorder="1" applyFont="1">
      <alignment horizontal="left" shrinkToFit="0" vertical="top" wrapText="1"/>
    </xf>
    <xf borderId="9" fillId="2" fontId="13" numFmtId="0" xfId="0" applyAlignment="1" applyBorder="1" applyFill="1" applyFont="1">
      <alignment horizontal="left"/>
    </xf>
    <xf borderId="6" fillId="0" fontId="1" numFmtId="0" xfId="0" applyBorder="1" applyFont="1"/>
    <xf borderId="10" fillId="2" fontId="13" numFmtId="0" xfId="0" applyAlignment="1" applyBorder="1" applyFill="1" applyFont="1">
      <alignment horizontal="left"/>
    </xf>
    <xf borderId="4" fillId="2" fontId="13" numFmtId="14" xfId="0" applyAlignment="1" applyBorder="1" applyFill="1" applyFont="1" applyNumberFormat="1">
      <alignment horizontal="left" vertical="top"/>
    </xf>
    <xf borderId="4" fillId="2" fontId="13" numFmtId="0" xfId="0" applyAlignment="1" applyBorder="1" applyFill="1" applyFont="1">
      <alignment horizontal="left" shrinkToFit="0" vertical="top" wrapText="1"/>
    </xf>
    <xf borderId="6" fillId="0" fontId="13" numFmtId="14" xfId="0" applyBorder="1" applyFont="1" applyNumberFormat="1"/>
    <xf borderId="4" fillId="2" fontId="8" numFmtId="1" xfId="0" applyAlignment="1" applyBorder="1" applyFill="1" applyFont="1" applyNumberFormat="1">
      <alignment shrinkToFit="0" vertical="center" wrapText="1"/>
    </xf>
    <xf borderId="1" fillId="2" fontId="15" numFmtId="0" xfId="0" applyBorder="1" applyFill="1" applyFont="1"/>
    <xf borderId="1" fillId="2" fontId="16" numFmtId="0" xfId="0" applyBorder="1" applyFill="1" applyFont="1"/>
    <xf borderId="1" fillId="2" fontId="1" numFmtId="0" xfId="0" applyAlignment="1" applyBorder="1" applyFill="1" applyFont="1">
      <alignment shrinkToFit="0" wrapText="1"/>
    </xf>
    <xf borderId="11" fillId="2" fontId="1" numFmtId="0" xfId="0" applyBorder="1" applyFill="1" applyFont="1"/>
    <xf borderId="1" fillId="2" fontId="15" numFmtId="1" xfId="0" applyBorder="1" applyFill="1" applyFont="1" applyNumberFormat="1"/>
    <xf borderId="4" fillId="0" fontId="13" numFmtId="0" xfId="0" applyAlignment="1" applyBorder="1" applyFont="1">
      <alignment horizontal="left" vertical="center"/>
    </xf>
    <xf borderId="0" fillId="4" fontId="17" numFmtId="0" xfId="0" applyAlignment="1" applyFill="1" applyFont="1">
      <alignment horizontal="center"/>
    </xf>
    <xf borderId="1" fillId="2" fontId="1" numFmtId="1" xfId="0" applyAlignment="1" applyBorder="1" applyFill="1" applyFont="1" applyNumberFormat="1">
      <alignment vertical="center"/>
    </xf>
    <xf borderId="6" fillId="0" fontId="13" numFmtId="0" xfId="0" applyAlignment="1" applyBorder="1" applyFont="1">
      <alignment horizontal="left"/>
    </xf>
    <xf borderId="0" fillId="4" fontId="17" numFmtId="0" xfId="0" applyAlignment="1" applyFill="1" applyFont="1">
      <alignment horizontal="center" shrinkToFit="0" wrapText="1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vertical="center"/>
    </xf>
    <xf borderId="0" fillId="0" fontId="8" numFmtId="0" xfId="0" applyFont="1"/>
    <xf borderId="12" fillId="2" fontId="1" numFmtId="0" xfId="0" applyBorder="1" applyFill="1" applyFont="1"/>
    <xf borderId="0" fillId="0" fontId="15" numFmtId="0" xfId="0" applyAlignment="1" applyFont="1">
      <alignment horizontal="left"/>
    </xf>
    <xf borderId="0" fillId="2" fontId="1" numFmtId="0" xfId="0" applyAlignment="1" applyFill="1" applyFont="1">
      <alignment horizontal="center"/>
    </xf>
    <xf borderId="13" fillId="5" fontId="17" numFmtId="1" xfId="0" applyAlignment="1" applyBorder="1" applyFill="1" applyFont="1" applyNumberFormat="1">
      <alignment horizontal="center" vertical="center"/>
    </xf>
    <xf borderId="14" fillId="5" fontId="17" numFmtId="1" xfId="0" applyAlignment="1" applyBorder="1" applyFill="1" applyFont="1" applyNumberFormat="1">
      <alignment horizontal="center" shrinkToFit="0" vertical="center" wrapText="1"/>
    </xf>
    <xf borderId="14" fillId="5" fontId="17" numFmtId="1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horizontal="left"/>
    </xf>
    <xf borderId="15" fillId="5" fontId="17" numFmtId="0" xfId="0" applyAlignment="1" applyBorder="1" applyFill="1" applyFont="1">
      <alignment horizontal="center" vertical="center"/>
    </xf>
    <xf borderId="0" fillId="2" fontId="18" numFmtId="49" xfId="0" applyAlignment="1" applyFill="1" applyFont="1" applyNumberFormat="1">
      <alignment horizontal="left" shrinkToFit="0" vertical="center" wrapText="1"/>
    </xf>
    <xf borderId="15" fillId="5" fontId="17" numFmtId="0" xfId="0" applyAlignment="1" applyBorder="1" applyFill="1" applyFont="1">
      <alignment horizontal="center" shrinkToFit="0" vertical="center" wrapText="1"/>
    </xf>
    <xf borderId="16" fillId="5" fontId="17" numFmtId="0" xfId="0" applyAlignment="1" applyBorder="1" applyFill="1" applyFont="1">
      <alignment horizontal="center" vertical="center"/>
    </xf>
    <xf borderId="13" fillId="4" fontId="17" numFmtId="164" xfId="0" applyAlignment="1" applyBorder="1" applyFill="1" applyFont="1" applyNumberFormat="1">
      <alignment horizontal="center" vertical="center"/>
    </xf>
    <xf borderId="17" fillId="5" fontId="17" numFmtId="0" xfId="0" applyAlignment="1" applyBorder="1" applyFill="1" applyFont="1">
      <alignment horizontal="center" vertical="center"/>
    </xf>
    <xf borderId="15" fillId="4" fontId="17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horizontal="center"/>
    </xf>
    <xf borderId="17" fillId="4" fontId="17" numFmtId="0" xfId="0" applyAlignment="1" applyBorder="1" applyFill="1" applyFont="1">
      <alignment horizontal="center" vertical="center"/>
    </xf>
    <xf borderId="18" fillId="2" fontId="1" numFmtId="1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9" fillId="2" fontId="1" numFmtId="1" xfId="0" applyAlignment="1" applyBorder="1" applyFill="1" applyFont="1" applyNumberFormat="1">
      <alignment shrinkToFit="0" vertical="center" wrapText="1"/>
    </xf>
    <xf borderId="19" fillId="2" fontId="1" numFmtId="1" xfId="0" applyAlignment="1" applyBorder="1" applyFill="1" applyFont="1" applyNumberFormat="1">
      <alignment vertical="center"/>
    </xf>
    <xf borderId="20" fillId="2" fontId="1" numFmtId="49" xfId="0" applyAlignment="1" applyBorder="1" applyFill="1" applyFont="1" applyNumberFormat="1">
      <alignment horizontal="left" vertical="center"/>
    </xf>
    <xf borderId="20" fillId="2" fontId="1" numFmtId="49" xfId="0" applyAlignment="1" applyBorder="1" applyFill="1" applyFont="1" applyNumberFormat="1">
      <alignment horizontal="left" shrinkToFit="0" vertical="center" wrapText="1"/>
    </xf>
    <xf borderId="18" fillId="0" fontId="13" numFmtId="14" xfId="0" applyAlignment="1" applyBorder="1" applyFont="1" applyNumberFormat="1">
      <alignment horizontal="center" shrinkToFit="0" vertical="center" wrapText="1"/>
    </xf>
    <xf borderId="20" fillId="0" fontId="1" numFmtId="49" xfId="0" applyAlignment="1" applyBorder="1" applyFont="1" applyNumberForma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0" fillId="2" fontId="19" numFmtId="0" xfId="0" applyAlignment="1" applyBorder="1" applyFill="1" applyFont="1">
      <alignment horizontal="left" vertical="center"/>
    </xf>
    <xf borderId="20" fillId="0" fontId="1" numFmtId="15" xfId="0" applyAlignment="1" applyBorder="1" applyFont="1" applyNumberFormat="1">
      <alignment horizontal="left" shrinkToFit="0" vertical="center" wrapText="1"/>
    </xf>
    <xf borderId="21" fillId="0" fontId="13" numFmtId="0" xfId="0" applyAlignment="1" applyBorder="1" applyFont="1">
      <alignment horizontal="left" shrinkToFit="0" vertical="center" wrapText="1"/>
    </xf>
    <xf borderId="21" fillId="2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vertical="top"/>
    </xf>
    <xf borderId="22" fillId="0" fontId="1" numFmtId="164" xfId="0" applyAlignment="1" applyBorder="1" applyFont="1" applyNumberFormat="1">
      <alignment vertical="top"/>
    </xf>
    <xf borderId="23" fillId="0" fontId="1" numFmtId="49" xfId="0" applyAlignment="1" applyBorder="1" applyFont="1" applyNumberFormat="1">
      <alignment vertical="top"/>
    </xf>
    <xf borderId="23" fillId="0" fontId="1" numFmtId="0" xfId="0" applyAlignment="1" applyBorder="1" applyFont="1">
      <alignment vertical="top"/>
    </xf>
    <xf borderId="24" fillId="0" fontId="1" numFmtId="0" xfId="0" applyAlignment="1" applyBorder="1" applyFont="1">
      <alignment vertical="top"/>
    </xf>
    <xf borderId="0" fillId="2" fontId="20" numFmtId="49" xfId="0" applyFill="1" applyFont="1" applyNumberFormat="1"/>
    <xf borderId="25" fillId="4" fontId="21" numFmtId="0" xfId="0" applyAlignment="1" applyBorder="1" applyFill="1" applyFont="1">
      <alignment horizontal="center"/>
    </xf>
    <xf borderId="26" fillId="4" fontId="22" numFmtId="0" xfId="0" applyAlignment="1" applyBorder="1" applyFill="1" applyFont="1">
      <alignment vertical="center"/>
    </xf>
    <xf borderId="27" fillId="4" fontId="2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10" xfId="0" applyAlignment="1" applyBorder="1" applyFill="1" applyFont="1" applyNumberFormat="1">
      <alignment horizontal="center"/>
    </xf>
    <xf borderId="1" fillId="2" fontId="1" numFmtId="9" xfId="0" applyAlignment="1" applyBorder="1" applyFill="1" applyFont="1" applyNumberFormat="1">
      <alignment horizontal="center"/>
    </xf>
    <xf borderId="1" fillId="2" fontId="8" numFmtId="0" xfId="0" applyAlignment="1" applyBorder="1" applyFill="1" applyFont="1">
      <alignment horizontal="left"/>
    </xf>
    <xf borderId="1" fillId="2" fontId="8" numFmtId="10" xfId="0" applyAlignment="1" applyBorder="1" applyFill="1" applyFont="1" applyNumberFormat="1">
      <alignment horizontal="right" shrinkToFit="0" wrapText="1"/>
    </xf>
    <xf borderId="1" fillId="2" fontId="23" numFmtId="0" xfId="0" applyAlignment="1" applyBorder="1" applyFill="1" applyFont="1">
      <alignment horizontal="center" shrinkToFit="0" wrapText="1"/>
    </xf>
    <xf borderId="28" fillId="0" fontId="24" numFmtId="0" xfId="0" applyBorder="1" applyFont="1"/>
    <xf borderId="28" fillId="0" fontId="25" numFmtId="0" xfId="0" applyAlignment="1" applyBorder="1" applyFont="1">
      <alignment horizontal="left"/>
    </xf>
    <xf borderId="0" fillId="0" fontId="24" numFmtId="0" xfId="0" applyFont="1"/>
    <xf borderId="0" fillId="0" fontId="24" numFmtId="0" xfId="0" applyAlignment="1" applyFont="1">
      <alignment horizontal="right"/>
    </xf>
    <xf borderId="29" fillId="2" fontId="25" numFmtId="0" xfId="0" applyAlignment="1" applyBorder="1" applyFill="1" applyFont="1">
      <alignment horizontal="left" shrinkToFit="0" vertical="center" wrapText="1"/>
    </xf>
    <xf borderId="30" fillId="0" fontId="7" numFmtId="0" xfId="0" applyBorder="1" applyFont="1"/>
    <xf borderId="31" fillId="2" fontId="26" numFmtId="49" xfId="0" applyAlignment="1" applyBorder="1" applyFill="1" applyFont="1" applyNumberFormat="1">
      <alignment horizontal="left" shrinkToFit="0" vertical="center" wrapText="1"/>
    </xf>
    <xf borderId="32" fillId="2" fontId="25" numFmtId="0" xfId="0" applyAlignment="1" applyBorder="1" applyFill="1" applyFont="1">
      <alignment horizontal="left" shrinkToFit="0" vertical="center" wrapText="1"/>
    </xf>
    <xf borderId="33" fillId="0" fontId="7" numFmtId="0" xfId="0" applyBorder="1" applyFont="1"/>
    <xf borderId="34" fillId="2" fontId="25" numFmtId="0" xfId="0" applyAlignment="1" applyBorder="1" applyFill="1" applyFont="1">
      <alignment horizontal="left" shrinkToFit="0" vertical="center" wrapText="1"/>
    </xf>
    <xf borderId="35" fillId="2" fontId="25" numFmtId="0" xfId="0" applyAlignment="1" applyBorder="1" applyFill="1" applyFont="1">
      <alignment horizontal="left" shrinkToFit="0" vertical="center" wrapText="1"/>
    </xf>
    <xf borderId="36" fillId="2" fontId="26" numFmtId="0" xfId="0" applyAlignment="1" applyBorder="1" applyFill="1" applyFont="1">
      <alignment horizontal="left" shrinkToFit="0" wrapText="1"/>
    </xf>
    <xf borderId="37" fillId="0" fontId="7" numFmtId="0" xfId="0" applyBorder="1" applyFont="1"/>
    <xf borderId="4" fillId="2" fontId="25" numFmtId="0" xfId="0" applyAlignment="1" applyBorder="1" applyFill="1" applyFont="1">
      <alignment horizontal="left" shrinkToFit="0" wrapText="1"/>
    </xf>
    <xf borderId="38" fillId="2" fontId="25" numFmtId="0" xfId="0" applyAlignment="1" applyBorder="1" applyFill="1" applyFont="1">
      <alignment horizontal="left" shrinkToFit="0" wrapText="1"/>
    </xf>
    <xf borderId="4" fillId="2" fontId="26" numFmtId="0" xfId="0" applyAlignment="1" applyBorder="1" applyFill="1" applyFont="1">
      <alignment horizontal="center" shrinkToFit="0" wrapText="1"/>
    </xf>
    <xf borderId="9" fillId="2" fontId="26" numFmtId="0" xfId="0" applyAlignment="1" applyBorder="1" applyFill="1" applyFont="1">
      <alignment horizontal="left" shrinkToFit="0" wrapText="1"/>
    </xf>
    <xf borderId="4" fillId="2" fontId="26" numFmtId="0" xfId="0" applyAlignment="1" applyBorder="1" applyFill="1" applyFont="1">
      <alignment horizontal="left" shrinkToFit="0" vertical="center" wrapText="1"/>
    </xf>
    <xf borderId="39" fillId="0" fontId="7" numFmtId="0" xfId="0" applyBorder="1" applyFont="1"/>
    <xf borderId="35" fillId="2" fontId="25" numFmtId="0" xfId="0" applyAlignment="1" applyBorder="1" applyFill="1" applyFont="1">
      <alignment horizontal="center" vertical="center"/>
    </xf>
    <xf borderId="4" fillId="2" fontId="25" numFmtId="0" xfId="0" applyAlignment="1" applyBorder="1" applyFill="1" applyFont="1">
      <alignment horizontal="center" shrinkToFit="0" vertical="center" wrapText="1"/>
    </xf>
    <xf borderId="38" fillId="2" fontId="25" numFmtId="0" xfId="0" applyAlignment="1" applyBorder="1" applyFill="1" applyFont="1">
      <alignment horizontal="center" shrinkToFit="0" vertical="center" wrapText="1"/>
    </xf>
    <xf borderId="40" fillId="2" fontId="24" numFmtId="0" xfId="0" applyAlignment="1" applyBorder="1" applyFill="1" applyFont="1">
      <alignment horizontal="center" vertical="center"/>
    </xf>
    <xf borderId="41" fillId="0" fontId="7" numFmtId="0" xfId="0" applyBorder="1" applyFont="1"/>
    <xf borderId="42" fillId="2" fontId="24" numFmtId="0" xfId="0" applyAlignment="1" applyBorder="1" applyFill="1" applyFont="1">
      <alignment horizontal="center" vertical="center"/>
    </xf>
    <xf borderId="43" fillId="2" fontId="24" numFmtId="0" xfId="0" applyAlignment="1" applyBorder="1" applyFill="1" applyFont="1">
      <alignment horizontal="center" vertical="center"/>
    </xf>
    <xf borderId="44" fillId="2" fontId="24" numFmtId="0" xfId="0" applyAlignment="1" applyBorder="1" applyFill="1" applyFont="1">
      <alignment horizontal="center" vertical="center"/>
    </xf>
    <xf borderId="0" fillId="0" fontId="25" numFmtId="0" xfId="0" applyAlignment="1" applyFont="1">
      <alignment horizontal="left"/>
    </xf>
    <xf borderId="45" fillId="4" fontId="17" numFmtId="164" xfId="0" applyAlignment="1" applyBorder="1" applyFill="1" applyFont="1" applyNumberFormat="1">
      <alignment horizontal="center" vertical="center"/>
    </xf>
    <xf borderId="46" fillId="4" fontId="27" numFmtId="0" xfId="0" applyAlignment="1" applyBorder="1" applyFill="1" applyFont="1">
      <alignment horizontal="left"/>
    </xf>
    <xf borderId="46" fillId="4" fontId="28" numFmtId="0" xfId="0" applyBorder="1" applyFill="1" applyFont="1"/>
    <xf borderId="46" fillId="4" fontId="28" numFmtId="0" xfId="0" applyAlignment="1" applyBorder="1" applyFill="1" applyFont="1">
      <alignment horizontal="right"/>
    </xf>
    <xf borderId="46" fillId="4" fontId="27" numFmtId="0" xfId="0" applyAlignment="1" applyBorder="1" applyFill="1" applyFont="1">
      <alignment textRotation="180" vertical="top"/>
    </xf>
    <xf borderId="47" fillId="4" fontId="27" numFmtId="0" xfId="0" applyAlignment="1" applyBorder="1" applyFill="1" applyFont="1">
      <alignment textRotation="180" vertical="top"/>
    </xf>
    <xf borderId="48" fillId="4" fontId="27" numFmtId="0" xfId="0" applyAlignment="1" applyBorder="1" applyFill="1" applyFont="1">
      <alignment vertical="center"/>
    </xf>
    <xf borderId="49" fillId="2" fontId="25" numFmtId="0" xfId="0" applyAlignment="1" applyBorder="1" applyFill="1" applyFont="1">
      <alignment horizontal="left" vertical="top"/>
    </xf>
    <xf borderId="50" fillId="2" fontId="24" numFmtId="0" xfId="0" applyAlignment="1" applyBorder="1" applyFill="1" applyFont="1">
      <alignment horizontal="center" vertical="top"/>
    </xf>
    <xf borderId="51" fillId="2" fontId="24" numFmtId="0" xfId="0" applyAlignment="1" applyBorder="1" applyFill="1" applyFont="1">
      <alignment horizontal="right" vertical="top"/>
    </xf>
    <xf borderId="0" fillId="0" fontId="26" numFmtId="0" xfId="0" applyAlignment="1" applyFont="1">
      <alignment horizontal="right"/>
    </xf>
    <xf borderId="52" fillId="0" fontId="5" numFmtId="0" xfId="0" applyAlignment="1" applyBorder="1" applyFont="1">
      <alignment horizontal="center"/>
    </xf>
    <xf borderId="53" fillId="0" fontId="5" numFmtId="0" xfId="0" applyAlignment="1" applyBorder="1" applyFont="1">
      <alignment horizontal="center"/>
    </xf>
    <xf borderId="54" fillId="4" fontId="27" numFmtId="0" xfId="0" applyAlignment="1" applyBorder="1" applyFill="1" applyFont="1">
      <alignment vertical="center"/>
    </xf>
    <xf borderId="8" fillId="2" fontId="25" numFmtId="0" xfId="0" applyAlignment="1" applyBorder="1" applyFill="1" applyFont="1">
      <alignment horizontal="left" vertical="top"/>
    </xf>
    <xf borderId="9" fillId="2" fontId="24" numFmtId="0" xfId="0" applyAlignment="1" applyBorder="1" applyFill="1" applyFont="1">
      <alignment horizontal="center" vertical="top"/>
    </xf>
    <xf borderId="10" fillId="2" fontId="24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center"/>
    </xf>
    <xf borderId="55" fillId="0" fontId="5" numFmtId="0" xfId="0" applyAlignment="1" applyBorder="1" applyFont="1">
      <alignment horizontal="center"/>
    </xf>
    <xf borderId="56" fillId="2" fontId="25" numFmtId="0" xfId="0" applyAlignment="1" applyBorder="1" applyFill="1" applyFont="1">
      <alignment horizontal="left" vertical="top"/>
    </xf>
    <xf borderId="57" fillId="2" fontId="24" numFmtId="0" xfId="0" applyAlignment="1" applyBorder="1" applyFill="1" applyFont="1">
      <alignment horizontal="center" vertical="top"/>
    </xf>
    <xf borderId="58" fillId="2" fontId="24" numFmtId="0" xfId="0" applyAlignment="1" applyBorder="1" applyFill="1" applyFont="1">
      <alignment horizontal="right" vertical="top"/>
    </xf>
    <xf borderId="59" fillId="0" fontId="24" numFmtId="0" xfId="0" applyAlignment="1" applyBorder="1" applyFont="1">
      <alignment horizontal="right"/>
    </xf>
    <xf borderId="60" fillId="0" fontId="5" numFmtId="0" xfId="0" applyAlignment="1" applyBorder="1" applyFont="1">
      <alignment horizontal="center"/>
    </xf>
    <xf borderId="61" fillId="0" fontId="5" numFmtId="0" xfId="0" applyAlignment="1" applyBorder="1" applyFont="1">
      <alignment horizontal="center"/>
    </xf>
    <xf borderId="48" fillId="4" fontId="27" numFmtId="0" xfId="0" applyAlignment="1" applyBorder="1" applyFill="1" applyFont="1">
      <alignment vertical="top"/>
    </xf>
    <xf borderId="49" fillId="2" fontId="25" numFmtId="0" xfId="0" applyBorder="1" applyFill="1" applyFont="1"/>
    <xf borderId="50" fillId="2" fontId="25" numFmtId="0" xfId="0" applyBorder="1" applyFill="1" applyFont="1"/>
    <xf borderId="51" fillId="2" fontId="24" numFmtId="0" xfId="0" applyAlignment="1" applyBorder="1" applyFill="1" applyFont="1">
      <alignment horizontal="right"/>
    </xf>
    <xf borderId="52" fillId="0" fontId="24" numFmtId="0" xfId="0" applyAlignment="1" applyBorder="1" applyFont="1">
      <alignment horizontal="left"/>
    </xf>
    <xf borderId="54" fillId="4" fontId="27" numFmtId="0" xfId="0" applyAlignment="1" applyBorder="1" applyFill="1" applyFont="1">
      <alignment vertical="top"/>
    </xf>
    <xf borderId="8" fillId="2" fontId="25" numFmtId="0" xfId="0" applyBorder="1" applyFill="1" applyFont="1"/>
    <xf borderId="9" fillId="2" fontId="9" numFmtId="0" xfId="0" applyBorder="1" applyFill="1" applyFont="1"/>
    <xf borderId="10" fillId="2" fontId="24" numFmtId="0" xfId="0" applyAlignment="1" applyBorder="1" applyFill="1" applyFont="1">
      <alignment horizontal="right"/>
    </xf>
    <xf borderId="5" fillId="0" fontId="24" numFmtId="0" xfId="0" applyBorder="1" applyFont="1"/>
    <xf borderId="62" fillId="2" fontId="25" numFmtId="0" xfId="0" applyBorder="1" applyFill="1" applyFont="1"/>
    <xf borderId="63" fillId="2" fontId="24" numFmtId="0" xfId="0" applyBorder="1" applyFill="1" applyFont="1"/>
    <xf borderId="64" fillId="2" fontId="24" numFmtId="0" xfId="0" applyAlignment="1" applyBorder="1" applyFill="1" applyFont="1">
      <alignment horizontal="right"/>
    </xf>
    <xf borderId="65" fillId="0" fontId="24" numFmtId="0" xfId="0" applyAlignment="1" applyBorder="1" applyFont="1">
      <alignment horizontal="left"/>
    </xf>
    <xf borderId="65" fillId="0" fontId="5" numFmtId="0" xfId="0" applyAlignment="1" applyBorder="1" applyFont="1">
      <alignment horizontal="center"/>
    </xf>
    <xf borderId="66" fillId="0" fontId="5" numFmtId="0" xfId="0" applyAlignment="1" applyBorder="1" applyFont="1">
      <alignment horizontal="center"/>
    </xf>
    <xf borderId="67" fillId="0" fontId="24" numFmtId="0" xfId="0" applyAlignment="1" applyBorder="1" applyFont="1">
      <alignment horizontal="left"/>
    </xf>
    <xf borderId="68" fillId="0" fontId="7" numFmtId="0" xfId="0" applyBorder="1" applyFont="1"/>
    <xf borderId="69" fillId="0" fontId="7" numFmtId="0" xfId="0" applyBorder="1" applyFont="1"/>
    <xf borderId="70" fillId="0" fontId="24" numFmtId="0" xfId="0" applyAlignment="1" applyBorder="1" applyFont="1">
      <alignment horizontal="left"/>
    </xf>
    <xf borderId="70" fillId="0" fontId="24" numFmtId="0" xfId="0" applyAlignment="1" applyBorder="1" applyFont="1">
      <alignment horizontal="center"/>
    </xf>
    <xf borderId="71" fillId="0" fontId="24" numFmtId="0" xfId="0" applyAlignment="1" applyBorder="1" applyFont="1">
      <alignment horizontal="center"/>
    </xf>
    <xf borderId="4" fillId="0" fontId="24" numFmtId="0" xfId="0" applyAlignment="1" applyBorder="1" applyFont="1">
      <alignment horizontal="left"/>
    </xf>
    <xf borderId="5" fillId="0" fontId="29" numFmtId="0" xfId="0" applyAlignment="1" applyBorder="1" applyFont="1">
      <alignment horizontal="left"/>
    </xf>
    <xf borderId="5" fillId="0" fontId="24" numFmtId="0" xfId="0" applyAlignment="1" applyBorder="1" applyFont="1">
      <alignment horizontal="center"/>
    </xf>
    <xf borderId="55" fillId="0" fontId="24" numFmtId="0" xfId="0" applyAlignment="1" applyBorder="1" applyFont="1">
      <alignment horizontal="center"/>
    </xf>
    <xf borderId="4" fillId="0" fontId="24" numFmtId="0" xfId="0" applyAlignment="1" applyBorder="1" applyFont="1">
      <alignment horizontal="left" vertical="top"/>
    </xf>
    <xf borderId="5" fillId="0" fontId="24" numFmtId="14" xfId="0" applyAlignment="1" applyBorder="1" applyFont="1" applyNumberFormat="1">
      <alignment textRotation="255" vertical="top"/>
    </xf>
    <xf borderId="55" fillId="0" fontId="24" numFmtId="165" xfId="0" applyAlignment="1" applyBorder="1" applyFont="1" applyNumberFormat="1">
      <alignment textRotation="255" vertical="top"/>
    </xf>
    <xf borderId="55" fillId="0" fontId="24" numFmtId="14" xfId="0" applyAlignment="1" applyBorder="1" applyFont="1" applyNumberFormat="1">
      <alignment textRotation="255" vertical="top"/>
    </xf>
    <xf borderId="72" fillId="4" fontId="27" numFmtId="0" xfId="0" applyAlignment="1" applyBorder="1" applyFill="1" applyFont="1">
      <alignment vertical="top"/>
    </xf>
    <xf borderId="73" fillId="0" fontId="24" numFmtId="0" xfId="0" applyAlignment="1" applyBorder="1" applyFont="1">
      <alignment horizontal="left" vertical="top"/>
    </xf>
    <xf borderId="74" fillId="0" fontId="7" numFmtId="0" xfId="0" applyBorder="1" applyFont="1"/>
    <xf borderId="75" fillId="0" fontId="7" numFmtId="0" xfId="0" applyBorder="1" applyFont="1"/>
    <xf borderId="60" fillId="0" fontId="24" numFmtId="0" xfId="0" applyBorder="1" applyFont="1"/>
    <xf borderId="60" fillId="0" fontId="24" numFmtId="0" xfId="0" applyAlignment="1" applyBorder="1" applyFont="1">
      <alignment textRotation="255"/>
    </xf>
    <xf borderId="61" fillId="0" fontId="24" numFmtId="0" xfId="0" applyAlignment="1" applyBorder="1" applyFont="1">
      <alignment textRotation="255"/>
    </xf>
    <xf borderId="5" fillId="0" fontId="24" numFmtId="165" xfId="0" applyAlignment="1" applyBorder="1" applyFont="1" applyNumberFormat="1">
      <alignment textRotation="255"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2" Type="http://customschemas.google.com/relationships/workbookmetadata" Target="metadata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876425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9.29"/>
    <col customWidth="1" min="2" max="26" width="9.0"/>
  </cols>
  <sheetData>
    <row r="1" ht="21.75" customHeight="1">
      <c r="A1" s="3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75" customHeight="1">
      <c r="A2" s="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7.25" customHeight="1">
      <c r="A3" s="9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0" customHeight="1">
      <c r="A4" s="13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0" customHeight="1">
      <c r="A5" s="13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9.0" customHeight="1">
      <c r="A6" s="19" t="s">
        <v>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9.25" customHeight="1">
      <c r="A7" s="19" t="s">
        <v>9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0.0" customHeight="1">
      <c r="A8" s="19" t="s">
        <v>11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6.5" customHeight="1">
      <c r="A9" s="28" t="s">
        <v>13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6.5" customHeight="1">
      <c r="A10" s="13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7.25" customHeight="1">
      <c r="A11" s="9" t="s">
        <v>17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0" customHeight="1">
      <c r="A12" s="33" t="s">
        <v>20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39.0" customHeight="1">
      <c r="A13" s="13" t="s">
        <v>22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3.5" customHeight="1">
      <c r="A14" s="13" t="s">
        <v>24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6.25" customHeight="1">
      <c r="A15" s="19" t="s">
        <v>25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3.5" customHeight="1">
      <c r="A16" s="13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0" customHeight="1">
      <c r="A17" s="33" t="s">
        <v>27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3.5" customHeight="1">
      <c r="A18" s="13" t="s">
        <v>29</v>
      </c>
      <c r="B18" s="13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3.5" customHeight="1">
      <c r="A19" s="33" t="s">
        <v>30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3.5" customHeight="1">
      <c r="A20" s="13" t="s">
        <v>32</v>
      </c>
      <c r="B20" s="13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6.25" customHeight="1">
      <c r="A21" s="19" t="s">
        <v>35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3.5" customHeight="1">
      <c r="A22" s="13" t="s">
        <v>36</v>
      </c>
      <c r="B22" s="13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3.5" customHeight="1">
      <c r="A23" s="13" t="s">
        <v>37</v>
      </c>
      <c r="B23" s="13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3.5" customHeight="1">
      <c r="A24" s="13" t="s">
        <v>39</v>
      </c>
      <c r="B24" s="13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3.5" customHeight="1">
      <c r="A25" s="13" t="s">
        <v>40</v>
      </c>
      <c r="B25" s="13"/>
      <c r="C25" s="13" t="s">
        <v>41</v>
      </c>
      <c r="D25" s="13" t="s">
        <v>41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3.5" customHeight="1">
      <c r="A26" s="13" t="s">
        <v>42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3.5" customHeight="1">
      <c r="A27" s="13" t="s">
        <v>43</v>
      </c>
      <c r="B27" s="13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3.5" customHeight="1">
      <c r="A28" s="13" t="s">
        <v>44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3.5" customHeight="1">
      <c r="A29" s="13" t="s">
        <v>47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3.5" customHeight="1">
      <c r="A30" s="13" t="s">
        <v>50</v>
      </c>
      <c r="B30" s="13"/>
      <c r="C30" s="13" t="s">
        <v>41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3.5" customHeight="1">
      <c r="A31" s="33" t="s">
        <v>56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30.0" customHeight="1">
      <c r="A32" s="19" t="s">
        <v>59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3.5" customHeight="1">
      <c r="A33" s="13" t="s">
        <v>60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3.5" customHeight="1">
      <c r="A34" s="13" t="s">
        <v>61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3.5" customHeight="1">
      <c r="A35" s="13" t="s">
        <v>63</v>
      </c>
      <c r="B35" s="1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3.5" customHeight="1">
      <c r="A36" s="13" t="s">
        <v>67</v>
      </c>
      <c r="B36" s="13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3.5" customHeight="1">
      <c r="A37" s="33" t="s">
        <v>68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3.5" customHeight="1">
      <c r="A38" s="13" t="s">
        <v>70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39.0" customHeight="1">
      <c r="A39" s="19" t="s">
        <v>73</v>
      </c>
      <c r="B39" s="13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3.5" customHeight="1">
      <c r="A40" s="19"/>
      <c r="B40" s="13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0" customHeight="1">
      <c r="A41" s="33" t="s">
        <v>77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3.5" customHeight="1">
      <c r="A42" s="13" t="s">
        <v>81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3.5" customHeight="1">
      <c r="A43" s="13" t="s">
        <v>83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3.5" customHeight="1">
      <c r="A44" s="13" t="s">
        <v>85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3.5" customHeight="1">
      <c r="A45" s="13" t="s">
        <v>88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3.5" customHeight="1">
      <c r="A46" s="13" t="s">
        <v>90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3.5" customHeight="1">
      <c r="A47" s="13" t="s">
        <v>93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3.5" customHeight="1">
      <c r="A48" s="13" t="s">
        <v>95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3.5" customHeight="1">
      <c r="A49" s="13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3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3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3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65" footer="0.0" header="0.0" left="0.75" right="0.75" top="0.7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14"/>
    <col customWidth="1" min="2" max="2" width="10.0"/>
    <col customWidth="1" min="3" max="3" width="14.29"/>
    <col customWidth="1" min="4" max="4" width="8.0"/>
    <col customWidth="1" min="5" max="5" width="38.0"/>
    <col customWidth="1" min="6" max="6" width="48.14"/>
    <col customWidth="1" min="7" max="26" width="9.0"/>
  </cols>
  <sheetData>
    <row r="1" ht="12.7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75.75" customHeight="1">
      <c r="A2" s="20"/>
      <c r="B2" s="24" t="s">
        <v>10</v>
      </c>
      <c r="C2" s="27"/>
      <c r="D2" s="27"/>
      <c r="E2" s="27"/>
      <c r="F2" s="25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2.75" customHeight="1">
      <c r="A3" s="34"/>
      <c r="B3" s="36"/>
      <c r="C3" s="4"/>
      <c r="D3" s="4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3.5" customHeight="1">
      <c r="A4" s="38" t="s">
        <v>7</v>
      </c>
      <c r="B4" s="41" t="s">
        <v>8</v>
      </c>
      <c r="C4" s="27"/>
      <c r="D4" s="25"/>
      <c r="E4" s="38" t="s">
        <v>12</v>
      </c>
      <c r="F4" s="43" t="s">
        <v>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38" t="s">
        <v>15</v>
      </c>
      <c r="B5" s="41" t="s">
        <v>16</v>
      </c>
      <c r="C5" s="27"/>
      <c r="D5" s="25"/>
      <c r="E5" s="38" t="s">
        <v>28</v>
      </c>
      <c r="F5" s="47">
        <v>46310.0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37" t="s">
        <v>21</v>
      </c>
      <c r="B6" s="54" t="str">
        <f>B5&amp;"_"&amp;"UnitTest"&amp;"_"&amp;"v1.5"</f>
        <v>ALUMNECT_UnitTest_v1.5</v>
      </c>
      <c r="C6" s="27"/>
      <c r="D6" s="25"/>
      <c r="E6" s="38" t="s">
        <v>46</v>
      </c>
      <c r="F6" s="57" t="s">
        <v>48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62"/>
      <c r="B7" s="36"/>
      <c r="C7" s="4"/>
      <c r="D7" s="4"/>
      <c r="E7" s="64"/>
      <c r="F7" s="3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69" t="s">
        <v>65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74" t="s">
        <v>72</v>
      </c>
      <c r="B10" s="76" t="s">
        <v>46</v>
      </c>
      <c r="C10" s="76" t="s">
        <v>78</v>
      </c>
      <c r="D10" s="76" t="s">
        <v>79</v>
      </c>
      <c r="E10" s="76" t="s">
        <v>80</v>
      </c>
      <c r="F10" s="78" t="s">
        <v>82</v>
      </c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ht="26.25" customHeight="1">
      <c r="A11" s="85">
        <v>46297.0</v>
      </c>
      <c r="B11" s="86" t="s">
        <v>91</v>
      </c>
      <c r="C11" s="87" t="s">
        <v>94</v>
      </c>
      <c r="D11" s="87" t="s">
        <v>55</v>
      </c>
      <c r="E11" s="89" t="s">
        <v>96</v>
      </c>
      <c r="F11" s="90" t="s">
        <v>97</v>
      </c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26.25" customHeight="1">
      <c r="A12" s="85">
        <v>46301.0</v>
      </c>
      <c r="B12" s="86" t="s">
        <v>98</v>
      </c>
      <c r="C12" s="87" t="s">
        <v>100</v>
      </c>
      <c r="D12" s="87" t="s">
        <v>55</v>
      </c>
      <c r="E12" s="89" t="s">
        <v>102</v>
      </c>
      <c r="F12" s="90" t="s">
        <v>97</v>
      </c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39.75" customHeight="1">
      <c r="A13" s="85">
        <v>46301.0</v>
      </c>
      <c r="B13" s="86" t="s">
        <v>103</v>
      </c>
      <c r="C13" s="87" t="s">
        <v>104</v>
      </c>
      <c r="D13" s="87" t="s">
        <v>105</v>
      </c>
      <c r="E13" s="89" t="s">
        <v>107</v>
      </c>
      <c r="F13" s="90" t="s">
        <v>97</v>
      </c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39.75" customHeight="1">
      <c r="A14" s="85">
        <v>46306.0</v>
      </c>
      <c r="B14" s="86" t="s">
        <v>108</v>
      </c>
      <c r="C14" s="87" t="s">
        <v>109</v>
      </c>
      <c r="D14" s="87" t="s">
        <v>105</v>
      </c>
      <c r="E14" s="89" t="s">
        <v>110</v>
      </c>
      <c r="F14" s="90" t="s">
        <v>97</v>
      </c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39.75" customHeight="1">
      <c r="A15" s="85">
        <v>46310.0</v>
      </c>
      <c r="B15" s="86" t="s">
        <v>111</v>
      </c>
      <c r="C15" s="87" t="s">
        <v>112</v>
      </c>
      <c r="D15" s="87" t="s">
        <v>105</v>
      </c>
      <c r="E15" s="89" t="s">
        <v>113</v>
      </c>
      <c r="F15" s="90" t="s">
        <v>97</v>
      </c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39.75" customHeight="1">
      <c r="A16" s="85">
        <v>46310.0</v>
      </c>
      <c r="B16" s="86" t="s">
        <v>48</v>
      </c>
      <c r="C16" s="87" t="s">
        <v>114</v>
      </c>
      <c r="D16" s="87" t="s">
        <v>105</v>
      </c>
      <c r="E16" s="89" t="s">
        <v>115</v>
      </c>
      <c r="F16" s="90" t="s">
        <v>97</v>
      </c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19.5" customHeight="1">
      <c r="A17" s="93"/>
      <c r="B17" s="94"/>
      <c r="C17" s="95"/>
      <c r="D17" s="95"/>
      <c r="E17" s="95"/>
      <c r="F17" s="96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12.75" customHeight="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1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1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1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1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B2:F2"/>
    <mergeCell ref="B4:D4"/>
    <mergeCell ref="B5:D5"/>
    <mergeCell ref="B6:D6"/>
  </mergeCells>
  <printOptions/>
  <pageMargins bottom="0.3513888888888889" footer="0.0" header="0.0" left="0.4701388888888889" right="0.4701388888888889" top="0.5"/>
  <pageSetup paperSize="9" orientation="landscape"/>
  <headerFooter>
    <oddFooter>&amp;L 02ae-BM/PM/HDCV/FSOFT v2/1&amp;C Internal use&amp;R 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52.0"/>
    <col customWidth="1" min="3" max="4" width="36.0"/>
    <col customWidth="1" min="5" max="5" width="14.0"/>
    <col customWidth="1" min="6" max="6" width="12.0"/>
    <col customWidth="1" min="7" max="8" width="28.0"/>
    <col customWidth="1" min="9" max="26" width="9.0"/>
  </cols>
  <sheetData>
    <row r="1" ht="12.75" customHeight="1">
      <c r="A1" s="5"/>
      <c r="B1" s="5"/>
      <c r="C1" s="5"/>
      <c r="D1" s="7"/>
      <c r="E1" s="8"/>
      <c r="F1" s="7"/>
      <c r="G1" s="7"/>
      <c r="H1" s="7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5"/>
      <c r="B2" s="5"/>
      <c r="C2" s="5"/>
      <c r="D2" s="7"/>
      <c r="E2" s="16" t="s">
        <v>4</v>
      </c>
      <c r="F2" s="16"/>
      <c r="G2" s="17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5"/>
      <c r="B3" s="5"/>
      <c r="C3" s="5"/>
      <c r="D3" s="7"/>
      <c r="E3" s="8"/>
      <c r="F3" s="22"/>
      <c r="G3" s="22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6" t="s">
        <v>7</v>
      </c>
      <c r="B4" s="27"/>
      <c r="C4" s="27"/>
      <c r="D4" s="27"/>
      <c r="E4" s="23" t="s">
        <v>8</v>
      </c>
      <c r="F4" s="27"/>
      <c r="G4" s="27"/>
      <c r="H4" s="2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6" t="s">
        <v>15</v>
      </c>
      <c r="B5" s="27"/>
      <c r="C5" s="27"/>
      <c r="D5" s="27"/>
      <c r="E5" s="23" t="s">
        <v>16</v>
      </c>
      <c r="F5" s="27"/>
      <c r="G5" s="27"/>
      <c r="H5" s="2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9" t="s">
        <v>23</v>
      </c>
      <c r="B6" s="27"/>
      <c r="C6" s="27"/>
      <c r="D6" s="25"/>
      <c r="E6" s="40" t="s">
        <v>26</v>
      </c>
      <c r="F6" s="42"/>
      <c r="G6" s="42"/>
      <c r="H6" s="4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08.0" customHeight="1">
      <c r="A7" s="48" t="s">
        <v>31</v>
      </c>
      <c r="B7" s="27"/>
      <c r="C7" s="27"/>
      <c r="D7" s="25"/>
      <c r="E7" s="46" t="s">
        <v>38</v>
      </c>
      <c r="F7" s="27"/>
      <c r="G7" s="27"/>
      <c r="H7" s="25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2.75" customHeight="1">
      <c r="A8" s="53"/>
      <c r="B8" s="53"/>
      <c r="C8" s="53"/>
      <c r="D8" s="2"/>
      <c r="E8" s="5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56"/>
      <c r="B9" s="56"/>
      <c r="C9" s="56"/>
      <c r="D9" s="59"/>
      <c r="E9" s="60"/>
      <c r="F9" s="59"/>
      <c r="G9" s="59"/>
      <c r="H9" s="59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24.0" customHeight="1">
      <c r="A10" s="66" t="s">
        <v>45</v>
      </c>
      <c r="B10" s="67" t="s">
        <v>62</v>
      </c>
      <c r="C10" s="68" t="s">
        <v>66</v>
      </c>
      <c r="D10" s="70" t="s">
        <v>69</v>
      </c>
      <c r="E10" s="72" t="s">
        <v>71</v>
      </c>
      <c r="F10" s="70" t="s">
        <v>74</v>
      </c>
      <c r="G10" s="73" t="s">
        <v>75</v>
      </c>
      <c r="H10" s="75" t="s">
        <v>76</v>
      </c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8.75" customHeight="1">
      <c r="A11" s="79">
        <v>1.0</v>
      </c>
      <c r="B11" s="81" t="s">
        <v>84</v>
      </c>
      <c r="C11" s="82" t="s">
        <v>86</v>
      </c>
      <c r="D11" s="83" t="s">
        <v>87</v>
      </c>
      <c r="E11" s="84" t="s">
        <v>89</v>
      </c>
      <c r="F11" s="88" t="s">
        <v>89</v>
      </c>
      <c r="G11" s="88"/>
      <c r="H11" s="9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79">
        <v>2.0</v>
      </c>
      <c r="B12" s="81" t="s">
        <v>99</v>
      </c>
      <c r="C12" s="82" t="s">
        <v>86</v>
      </c>
      <c r="D12" s="83" t="s">
        <v>101</v>
      </c>
      <c r="E12" s="84" t="s">
        <v>89</v>
      </c>
      <c r="F12" s="88" t="s">
        <v>89</v>
      </c>
      <c r="G12" s="88"/>
      <c r="H12" s="9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79">
        <v>3.0</v>
      </c>
      <c r="B13" s="81" t="s">
        <v>116</v>
      </c>
      <c r="C13" s="82" t="s">
        <v>86</v>
      </c>
      <c r="D13" s="83" t="s">
        <v>117</v>
      </c>
      <c r="E13" s="84" t="s">
        <v>89</v>
      </c>
      <c r="F13" s="88" t="s">
        <v>89</v>
      </c>
      <c r="G13" s="88"/>
      <c r="H13" s="9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79">
        <v>4.0</v>
      </c>
      <c r="B14" s="81" t="s">
        <v>118</v>
      </c>
      <c r="C14" s="82" t="s">
        <v>86</v>
      </c>
      <c r="D14" s="83" t="s">
        <v>119</v>
      </c>
      <c r="E14" s="84" t="s">
        <v>120</v>
      </c>
      <c r="F14" s="88" t="s">
        <v>120</v>
      </c>
      <c r="G14" s="88"/>
      <c r="H14" s="9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79">
        <v>5.0</v>
      </c>
      <c r="B15" s="81" t="s">
        <v>122</v>
      </c>
      <c r="C15" s="82" t="s">
        <v>86</v>
      </c>
      <c r="D15" s="83" t="s">
        <v>123</v>
      </c>
      <c r="E15" s="84" t="s">
        <v>120</v>
      </c>
      <c r="F15" s="88" t="s">
        <v>120</v>
      </c>
      <c r="G15" s="88"/>
      <c r="H15" s="9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79">
        <v>6.0</v>
      </c>
      <c r="B16" s="81" t="s">
        <v>124</v>
      </c>
      <c r="C16" s="82" t="s">
        <v>86</v>
      </c>
      <c r="D16" s="83" t="s">
        <v>125</v>
      </c>
      <c r="E16" s="84" t="s">
        <v>120</v>
      </c>
      <c r="F16" s="88" t="s">
        <v>120</v>
      </c>
      <c r="G16" s="88"/>
      <c r="H16" s="9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79">
        <v>7.0</v>
      </c>
      <c r="B17" s="81" t="s">
        <v>127</v>
      </c>
      <c r="C17" s="82" t="s">
        <v>86</v>
      </c>
      <c r="D17" s="83" t="s">
        <v>128</v>
      </c>
      <c r="E17" s="84" t="s">
        <v>120</v>
      </c>
      <c r="F17" s="88" t="s">
        <v>120</v>
      </c>
      <c r="G17" s="88"/>
      <c r="H17" s="9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79">
        <v>8.0</v>
      </c>
      <c r="B18" s="81" t="s">
        <v>129</v>
      </c>
      <c r="C18" s="82" t="s">
        <v>86</v>
      </c>
      <c r="D18" s="83" t="s">
        <v>130</v>
      </c>
      <c r="E18" s="84" t="s">
        <v>131</v>
      </c>
      <c r="F18" s="88" t="s">
        <v>131</v>
      </c>
      <c r="G18" s="88"/>
      <c r="H18" s="9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79">
        <v>9.0</v>
      </c>
      <c r="B19" s="81" t="s">
        <v>133</v>
      </c>
      <c r="C19" s="82" t="s">
        <v>86</v>
      </c>
      <c r="D19" s="83" t="s">
        <v>134</v>
      </c>
      <c r="E19" s="84" t="s">
        <v>131</v>
      </c>
      <c r="F19" s="88" t="s">
        <v>131</v>
      </c>
      <c r="G19" s="88"/>
      <c r="H19" s="9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79">
        <v>10.0</v>
      </c>
      <c r="B20" s="81" t="s">
        <v>135</v>
      </c>
      <c r="C20" s="82" t="s">
        <v>86</v>
      </c>
      <c r="D20" s="83" t="s">
        <v>136</v>
      </c>
      <c r="E20" s="84" t="s">
        <v>137</v>
      </c>
      <c r="F20" s="88" t="s">
        <v>137</v>
      </c>
      <c r="G20" s="88"/>
      <c r="H20" s="9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79">
        <v>11.0</v>
      </c>
      <c r="B21" s="81" t="s">
        <v>138</v>
      </c>
      <c r="C21" s="82" t="s">
        <v>86</v>
      </c>
      <c r="D21" s="83" t="s">
        <v>139</v>
      </c>
      <c r="E21" s="84" t="s">
        <v>137</v>
      </c>
      <c r="F21" s="88" t="s">
        <v>137</v>
      </c>
      <c r="G21" s="88"/>
      <c r="H21" s="9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79">
        <v>12.0</v>
      </c>
      <c r="B22" s="81" t="s">
        <v>141</v>
      </c>
      <c r="C22" s="82" t="s">
        <v>86</v>
      </c>
      <c r="D22" s="83" t="s">
        <v>142</v>
      </c>
      <c r="E22" s="84" t="s">
        <v>137</v>
      </c>
      <c r="F22" s="88" t="s">
        <v>137</v>
      </c>
      <c r="G22" s="88"/>
      <c r="H22" s="9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79">
        <v>13.0</v>
      </c>
      <c r="B23" s="81" t="s">
        <v>143</v>
      </c>
      <c r="C23" s="82" t="s">
        <v>144</v>
      </c>
      <c r="D23" s="83" t="s">
        <v>145</v>
      </c>
      <c r="E23" s="84" t="s">
        <v>137</v>
      </c>
      <c r="F23" s="88" t="s">
        <v>137</v>
      </c>
      <c r="G23" s="88"/>
      <c r="H23" s="9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79">
        <v>14.0</v>
      </c>
      <c r="B24" s="81" t="s">
        <v>147</v>
      </c>
      <c r="C24" s="82" t="s">
        <v>144</v>
      </c>
      <c r="D24" s="83" t="s">
        <v>148</v>
      </c>
      <c r="E24" s="84" t="s">
        <v>149</v>
      </c>
      <c r="F24" s="88" t="s">
        <v>149</v>
      </c>
      <c r="G24" s="88"/>
      <c r="H24" s="9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79">
        <v>15.0</v>
      </c>
      <c r="B25" s="81" t="s">
        <v>150</v>
      </c>
      <c r="C25" s="82" t="s">
        <v>144</v>
      </c>
      <c r="D25" s="83" t="s">
        <v>151</v>
      </c>
      <c r="E25" s="84" t="s">
        <v>149</v>
      </c>
      <c r="F25" s="88" t="s">
        <v>149</v>
      </c>
      <c r="G25" s="88"/>
      <c r="H25" s="9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79">
        <v>16.0</v>
      </c>
      <c r="B26" s="81" t="s">
        <v>152</v>
      </c>
      <c r="C26" s="82" t="s">
        <v>144</v>
      </c>
      <c r="D26" s="83" t="s">
        <v>153</v>
      </c>
      <c r="E26" s="84" t="s">
        <v>154</v>
      </c>
      <c r="F26" s="88" t="s">
        <v>154</v>
      </c>
      <c r="G26" s="88"/>
      <c r="H26" s="9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79">
        <v>17.0</v>
      </c>
      <c r="B27" s="81" t="s">
        <v>156</v>
      </c>
      <c r="C27" s="82" t="s">
        <v>157</v>
      </c>
      <c r="D27" s="83" t="s">
        <v>158</v>
      </c>
      <c r="E27" s="84" t="s">
        <v>159</v>
      </c>
      <c r="F27" s="88" t="s">
        <v>159</v>
      </c>
      <c r="G27" s="88"/>
      <c r="H27" s="9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79">
        <v>18.0</v>
      </c>
      <c r="B28" s="81" t="s">
        <v>160</v>
      </c>
      <c r="C28" s="82" t="s">
        <v>157</v>
      </c>
      <c r="D28" s="83" t="s">
        <v>161</v>
      </c>
      <c r="E28" s="84" t="s">
        <v>159</v>
      </c>
      <c r="F28" s="88" t="s">
        <v>159</v>
      </c>
      <c r="G28" s="88"/>
      <c r="H28" s="9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75" customHeight="1">
      <c r="A29" s="79">
        <v>19.0</v>
      </c>
      <c r="B29" s="81" t="s">
        <v>162</v>
      </c>
      <c r="C29" s="82" t="s">
        <v>157</v>
      </c>
      <c r="D29" s="83" t="s">
        <v>163</v>
      </c>
      <c r="E29" s="84" t="s">
        <v>159</v>
      </c>
      <c r="F29" s="88" t="s">
        <v>159</v>
      </c>
      <c r="G29" s="88"/>
      <c r="H29" s="9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79">
        <v>20.0</v>
      </c>
      <c r="B30" s="81" t="s">
        <v>165</v>
      </c>
      <c r="C30" s="82" t="s">
        <v>157</v>
      </c>
      <c r="D30" s="83" t="s">
        <v>166</v>
      </c>
      <c r="E30" s="84" t="s">
        <v>159</v>
      </c>
      <c r="F30" s="88" t="s">
        <v>159</v>
      </c>
      <c r="G30" s="88"/>
      <c r="H30" s="9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79">
        <v>21.0</v>
      </c>
      <c r="B31" s="81" t="s">
        <v>167</v>
      </c>
      <c r="C31" s="82" t="s">
        <v>157</v>
      </c>
      <c r="D31" s="83" t="s">
        <v>168</v>
      </c>
      <c r="E31" s="84" t="s">
        <v>159</v>
      </c>
      <c r="F31" s="88" t="s">
        <v>159</v>
      </c>
      <c r="G31" s="88"/>
      <c r="H31" s="9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79">
        <v>22.0</v>
      </c>
      <c r="B32" s="81" t="s">
        <v>169</v>
      </c>
      <c r="C32" s="82" t="s">
        <v>144</v>
      </c>
      <c r="D32" s="83" t="s">
        <v>170</v>
      </c>
      <c r="E32" s="84" t="s">
        <v>171</v>
      </c>
      <c r="F32" s="88" t="s">
        <v>171</v>
      </c>
      <c r="G32" s="88"/>
      <c r="H32" s="9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79">
        <v>23.0</v>
      </c>
      <c r="B33" s="81" t="s">
        <v>173</v>
      </c>
      <c r="C33" s="82" t="s">
        <v>144</v>
      </c>
      <c r="D33" s="83" t="s">
        <v>174</v>
      </c>
      <c r="E33" s="84" t="s">
        <v>171</v>
      </c>
      <c r="F33" s="88" t="s">
        <v>171</v>
      </c>
      <c r="G33" s="88"/>
      <c r="H33" s="9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79">
        <v>24.0</v>
      </c>
      <c r="B34" s="81" t="s">
        <v>175</v>
      </c>
      <c r="C34" s="82" t="s">
        <v>144</v>
      </c>
      <c r="D34" s="83" t="s">
        <v>176</v>
      </c>
      <c r="E34" s="84" t="s">
        <v>177</v>
      </c>
      <c r="F34" s="88" t="s">
        <v>177</v>
      </c>
      <c r="G34" s="88"/>
      <c r="H34" s="9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79">
        <v>25.0</v>
      </c>
      <c r="B35" s="81" t="s">
        <v>178</v>
      </c>
      <c r="C35" s="82" t="s">
        <v>179</v>
      </c>
      <c r="D35" s="83" t="s">
        <v>180</v>
      </c>
      <c r="E35" s="84" t="s">
        <v>181</v>
      </c>
      <c r="F35" s="88" t="s">
        <v>181</v>
      </c>
      <c r="G35" s="88"/>
      <c r="H35" s="9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79">
        <v>26.0</v>
      </c>
      <c r="B36" s="81" t="s">
        <v>183</v>
      </c>
      <c r="C36" s="82" t="s">
        <v>179</v>
      </c>
      <c r="D36" s="83" t="s">
        <v>184</v>
      </c>
      <c r="E36" s="84" t="s">
        <v>181</v>
      </c>
      <c r="F36" s="88" t="s">
        <v>181</v>
      </c>
      <c r="G36" s="88"/>
      <c r="H36" s="9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79">
        <v>27.0</v>
      </c>
      <c r="B37" s="81" t="s">
        <v>185</v>
      </c>
      <c r="C37" s="82" t="s">
        <v>179</v>
      </c>
      <c r="D37" s="83" t="s">
        <v>186</v>
      </c>
      <c r="E37" s="84" t="s">
        <v>181</v>
      </c>
      <c r="F37" s="88" t="s">
        <v>181</v>
      </c>
      <c r="G37" s="88"/>
      <c r="H37" s="9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79">
        <v>28.0</v>
      </c>
      <c r="B38" s="81" t="s">
        <v>187</v>
      </c>
      <c r="C38" s="82" t="s">
        <v>179</v>
      </c>
      <c r="D38" s="83" t="s">
        <v>188</v>
      </c>
      <c r="E38" s="84" t="s">
        <v>181</v>
      </c>
      <c r="F38" s="88" t="s">
        <v>181</v>
      </c>
      <c r="G38" s="88"/>
      <c r="H38" s="9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79">
        <v>29.0</v>
      </c>
      <c r="B39" s="81" t="s">
        <v>190</v>
      </c>
      <c r="C39" s="82" t="s">
        <v>191</v>
      </c>
      <c r="D39" s="83" t="s">
        <v>192</v>
      </c>
      <c r="E39" s="84" t="s">
        <v>193</v>
      </c>
      <c r="F39" s="88" t="s">
        <v>193</v>
      </c>
      <c r="G39" s="88"/>
      <c r="H39" s="9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79">
        <v>30.0</v>
      </c>
      <c r="B40" s="81" t="s">
        <v>194</v>
      </c>
      <c r="C40" s="82" t="s">
        <v>191</v>
      </c>
      <c r="D40" s="83" t="s">
        <v>195</v>
      </c>
      <c r="E40" s="84" t="s">
        <v>193</v>
      </c>
      <c r="F40" s="88" t="s">
        <v>193</v>
      </c>
      <c r="G40" s="88"/>
      <c r="H40" s="9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79">
        <v>31.0</v>
      </c>
      <c r="B41" s="81" t="s">
        <v>196</v>
      </c>
      <c r="C41" s="82" t="s">
        <v>191</v>
      </c>
      <c r="D41" s="83" t="s">
        <v>197</v>
      </c>
      <c r="E41" s="84" t="s">
        <v>193</v>
      </c>
      <c r="F41" s="88" t="s">
        <v>193</v>
      </c>
      <c r="G41" s="88"/>
      <c r="H41" s="9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0" customHeight="1">
      <c r="A42" s="79">
        <v>32.0</v>
      </c>
      <c r="B42" s="81" t="s">
        <v>198</v>
      </c>
      <c r="C42" s="82" t="s">
        <v>199</v>
      </c>
      <c r="D42" s="83" t="s">
        <v>200</v>
      </c>
      <c r="E42" s="84" t="s">
        <v>193</v>
      </c>
      <c r="F42" s="88" t="s">
        <v>193</v>
      </c>
      <c r="G42" s="88"/>
      <c r="H42" s="9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79">
        <v>33.0</v>
      </c>
      <c r="B43" s="81" t="s">
        <v>202</v>
      </c>
      <c r="C43" s="82" t="s">
        <v>203</v>
      </c>
      <c r="D43" s="83" t="s">
        <v>204</v>
      </c>
      <c r="E43" s="84" t="s">
        <v>193</v>
      </c>
      <c r="F43" s="88" t="s">
        <v>193</v>
      </c>
      <c r="G43" s="88"/>
      <c r="H43" s="9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79">
        <v>34.0</v>
      </c>
      <c r="B44" s="81" t="s">
        <v>205</v>
      </c>
      <c r="C44" s="82" t="s">
        <v>206</v>
      </c>
      <c r="D44" s="83" t="s">
        <v>207</v>
      </c>
      <c r="E44" s="84" t="s">
        <v>208</v>
      </c>
      <c r="F44" s="88" t="s">
        <v>208</v>
      </c>
      <c r="G44" s="88"/>
      <c r="H44" s="9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79">
        <v>35.0</v>
      </c>
      <c r="B45" s="81" t="s">
        <v>209</v>
      </c>
      <c r="C45" s="82" t="s">
        <v>210</v>
      </c>
      <c r="D45" s="83" t="s">
        <v>211</v>
      </c>
      <c r="E45" s="84" t="s">
        <v>212</v>
      </c>
      <c r="F45" s="88" t="s">
        <v>212</v>
      </c>
      <c r="G45" s="88"/>
      <c r="H45" s="9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79">
        <v>36.0</v>
      </c>
      <c r="B46" s="81" t="s">
        <v>214</v>
      </c>
      <c r="C46" s="82" t="s">
        <v>210</v>
      </c>
      <c r="D46" s="83" t="s">
        <v>215</v>
      </c>
      <c r="E46" s="84" t="s">
        <v>212</v>
      </c>
      <c r="F46" s="88" t="s">
        <v>212</v>
      </c>
      <c r="G46" s="88"/>
      <c r="H46" s="9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79">
        <v>37.0</v>
      </c>
      <c r="B47" s="81" t="s">
        <v>216</v>
      </c>
      <c r="C47" s="82" t="s">
        <v>210</v>
      </c>
      <c r="D47" s="83" t="s">
        <v>217</v>
      </c>
      <c r="E47" s="84" t="s">
        <v>212</v>
      </c>
      <c r="F47" s="88" t="s">
        <v>212</v>
      </c>
      <c r="G47" s="88"/>
      <c r="H47" s="9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79">
        <v>38.0</v>
      </c>
      <c r="B48" s="81" t="s">
        <v>218</v>
      </c>
      <c r="C48" s="82" t="s">
        <v>219</v>
      </c>
      <c r="D48" s="83" t="s">
        <v>220</v>
      </c>
      <c r="E48" s="84" t="s">
        <v>221</v>
      </c>
      <c r="F48" s="88" t="s">
        <v>221</v>
      </c>
      <c r="G48" s="88"/>
      <c r="H48" s="9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79">
        <v>39.0</v>
      </c>
      <c r="B49" s="81" t="s">
        <v>223</v>
      </c>
      <c r="C49" s="82" t="s">
        <v>219</v>
      </c>
      <c r="D49" s="83" t="s">
        <v>224</v>
      </c>
      <c r="E49" s="84" t="s">
        <v>225</v>
      </c>
      <c r="F49" s="88" t="s">
        <v>225</v>
      </c>
      <c r="G49" s="88"/>
      <c r="H49" s="9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79">
        <v>40.0</v>
      </c>
      <c r="B50" s="81" t="s">
        <v>226</v>
      </c>
      <c r="C50" s="82" t="s">
        <v>219</v>
      </c>
      <c r="D50" s="83" t="s">
        <v>227</v>
      </c>
      <c r="E50" s="84" t="s">
        <v>228</v>
      </c>
      <c r="F50" s="88" t="s">
        <v>228</v>
      </c>
      <c r="G50" s="88"/>
      <c r="H50" s="9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79">
        <v>41.0</v>
      </c>
      <c r="B51" s="81" t="s">
        <v>229</v>
      </c>
      <c r="C51" s="82" t="s">
        <v>230</v>
      </c>
      <c r="D51" s="83" t="s">
        <v>231</v>
      </c>
      <c r="E51" s="84" t="s">
        <v>232</v>
      </c>
      <c r="F51" s="88" t="s">
        <v>232</v>
      </c>
      <c r="G51" s="88"/>
      <c r="H51" s="9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79">
        <v>42.0</v>
      </c>
      <c r="B52" s="81" t="s">
        <v>234</v>
      </c>
      <c r="C52" s="82" t="s">
        <v>230</v>
      </c>
      <c r="D52" s="83" t="s">
        <v>235</v>
      </c>
      <c r="E52" s="84" t="s">
        <v>232</v>
      </c>
      <c r="F52" s="88" t="s">
        <v>232</v>
      </c>
      <c r="G52" s="88"/>
      <c r="H52" s="9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79">
        <v>43.0</v>
      </c>
      <c r="B53" s="81" t="s">
        <v>236</v>
      </c>
      <c r="C53" s="82" t="s">
        <v>237</v>
      </c>
      <c r="D53" s="83" t="s">
        <v>238</v>
      </c>
      <c r="E53" s="84" t="s">
        <v>239</v>
      </c>
      <c r="F53" s="88" t="s">
        <v>239</v>
      </c>
      <c r="G53" s="88"/>
      <c r="H53" s="9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79">
        <v>44.0</v>
      </c>
      <c r="B54" s="81" t="s">
        <v>240</v>
      </c>
      <c r="C54" s="82" t="s">
        <v>237</v>
      </c>
      <c r="D54" s="83" t="s">
        <v>241</v>
      </c>
      <c r="E54" s="84" t="s">
        <v>239</v>
      </c>
      <c r="F54" s="88" t="s">
        <v>239</v>
      </c>
      <c r="G54" s="88"/>
      <c r="H54" s="9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79">
        <v>45.0</v>
      </c>
      <c r="B55" s="81" t="s">
        <v>243</v>
      </c>
      <c r="C55" s="82" t="s">
        <v>244</v>
      </c>
      <c r="D55" s="83" t="s">
        <v>245</v>
      </c>
      <c r="E55" s="84" t="s">
        <v>246</v>
      </c>
      <c r="F55" s="88" t="s">
        <v>246</v>
      </c>
      <c r="G55" s="88"/>
      <c r="H55" s="9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79">
        <v>46.0</v>
      </c>
      <c r="B56" s="81" t="s">
        <v>247</v>
      </c>
      <c r="C56" s="82" t="s">
        <v>244</v>
      </c>
      <c r="D56" s="83" t="s">
        <v>248</v>
      </c>
      <c r="E56" s="84" t="s">
        <v>246</v>
      </c>
      <c r="F56" s="88" t="s">
        <v>246</v>
      </c>
      <c r="G56" s="88"/>
      <c r="H56" s="9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79">
        <v>47.0</v>
      </c>
      <c r="B57" s="81" t="s">
        <v>250</v>
      </c>
      <c r="C57" s="82" t="s">
        <v>244</v>
      </c>
      <c r="D57" s="83" t="s">
        <v>251</v>
      </c>
      <c r="E57" s="84" t="s">
        <v>246</v>
      </c>
      <c r="F57" s="88" t="s">
        <v>246</v>
      </c>
      <c r="G57" s="88"/>
      <c r="H57" s="9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79">
        <v>48.0</v>
      </c>
      <c r="B58" s="81" t="s">
        <v>252</v>
      </c>
      <c r="C58" s="82" t="s">
        <v>244</v>
      </c>
      <c r="D58" s="83" t="s">
        <v>253</v>
      </c>
      <c r="E58" s="84" t="s">
        <v>246</v>
      </c>
      <c r="F58" s="88" t="s">
        <v>246</v>
      </c>
      <c r="G58" s="88"/>
      <c r="H58" s="9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79">
        <v>49.0</v>
      </c>
      <c r="B59" s="81" t="s">
        <v>254</v>
      </c>
      <c r="C59" s="82" t="s">
        <v>244</v>
      </c>
      <c r="D59" s="83" t="s">
        <v>255</v>
      </c>
      <c r="E59" s="84" t="s">
        <v>246</v>
      </c>
      <c r="F59" s="88" t="s">
        <v>246</v>
      </c>
      <c r="G59" s="88"/>
      <c r="H59" s="9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79">
        <v>50.0</v>
      </c>
      <c r="B60" s="81" t="s">
        <v>257</v>
      </c>
      <c r="C60" s="82" t="s">
        <v>244</v>
      </c>
      <c r="D60" s="83" t="s">
        <v>258</v>
      </c>
      <c r="E60" s="84" t="s">
        <v>246</v>
      </c>
      <c r="F60" s="88" t="s">
        <v>246</v>
      </c>
      <c r="G60" s="88"/>
      <c r="H60" s="9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79">
        <v>51.0</v>
      </c>
      <c r="B61" s="81" t="s">
        <v>259</v>
      </c>
      <c r="C61" s="82" t="s">
        <v>260</v>
      </c>
      <c r="D61" s="83" t="s">
        <v>261</v>
      </c>
      <c r="E61" s="84" t="s">
        <v>262</v>
      </c>
      <c r="F61" s="88" t="s">
        <v>262</v>
      </c>
      <c r="G61" s="88"/>
      <c r="H61" s="9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79">
        <v>52.0</v>
      </c>
      <c r="B62" s="81" t="s">
        <v>263</v>
      </c>
      <c r="C62" s="82" t="s">
        <v>260</v>
      </c>
      <c r="D62" s="83" t="s">
        <v>264</v>
      </c>
      <c r="E62" s="84" t="s">
        <v>265</v>
      </c>
      <c r="F62" s="88" t="s">
        <v>265</v>
      </c>
      <c r="G62" s="88"/>
      <c r="H62" s="9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79">
        <v>53.0</v>
      </c>
      <c r="B63" s="81" t="s">
        <v>266</v>
      </c>
      <c r="C63" s="82" t="s">
        <v>260</v>
      </c>
      <c r="D63" s="83" t="s">
        <v>224</v>
      </c>
      <c r="E63" s="84" t="s">
        <v>265</v>
      </c>
      <c r="F63" s="88" t="s">
        <v>265</v>
      </c>
      <c r="G63" s="88"/>
      <c r="H63" s="9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79">
        <v>54.0</v>
      </c>
      <c r="B64" s="81" t="s">
        <v>268</v>
      </c>
      <c r="C64" s="82" t="s">
        <v>260</v>
      </c>
      <c r="D64" s="83" t="s">
        <v>269</v>
      </c>
      <c r="E64" s="84" t="s">
        <v>270</v>
      </c>
      <c r="F64" s="88" t="s">
        <v>270</v>
      </c>
      <c r="G64" s="88"/>
      <c r="H64" s="9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79">
        <v>55.0</v>
      </c>
      <c r="B65" s="81" t="s">
        <v>271</v>
      </c>
      <c r="C65" s="82" t="s">
        <v>260</v>
      </c>
      <c r="D65" s="83" t="s">
        <v>272</v>
      </c>
      <c r="E65" s="84" t="s">
        <v>273</v>
      </c>
      <c r="F65" s="88" t="s">
        <v>273</v>
      </c>
      <c r="G65" s="88"/>
      <c r="H65" s="9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79">
        <v>56.0</v>
      </c>
      <c r="B66" s="81" t="s">
        <v>274</v>
      </c>
      <c r="C66" s="82" t="s">
        <v>260</v>
      </c>
      <c r="D66" s="83" t="s">
        <v>275</v>
      </c>
      <c r="E66" s="84" t="s">
        <v>273</v>
      </c>
      <c r="F66" s="88" t="s">
        <v>273</v>
      </c>
      <c r="G66" s="88"/>
      <c r="H66" s="9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79">
        <v>57.0</v>
      </c>
      <c r="B67" s="81" t="s">
        <v>277</v>
      </c>
      <c r="C67" s="82" t="s">
        <v>278</v>
      </c>
      <c r="D67" s="83" t="s">
        <v>279</v>
      </c>
      <c r="E67" s="84" t="s">
        <v>273</v>
      </c>
      <c r="F67" s="88" t="s">
        <v>273</v>
      </c>
      <c r="G67" s="88"/>
      <c r="H67" s="9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79">
        <v>58.0</v>
      </c>
      <c r="B68" s="81" t="s">
        <v>280</v>
      </c>
      <c r="C68" s="82" t="s">
        <v>260</v>
      </c>
      <c r="D68" s="83" t="s">
        <v>281</v>
      </c>
      <c r="E68" s="84" t="s">
        <v>282</v>
      </c>
      <c r="F68" s="88" t="s">
        <v>282</v>
      </c>
      <c r="G68" s="88"/>
      <c r="H68" s="9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79">
        <v>59.0</v>
      </c>
      <c r="B69" s="81" t="s">
        <v>283</v>
      </c>
      <c r="C69" s="82" t="s">
        <v>260</v>
      </c>
      <c r="D69" s="83" t="s">
        <v>284</v>
      </c>
      <c r="E69" s="84" t="s">
        <v>282</v>
      </c>
      <c r="F69" s="88" t="s">
        <v>282</v>
      </c>
      <c r="G69" s="88"/>
      <c r="H69" s="9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79">
        <v>60.0</v>
      </c>
      <c r="B70" s="81" t="s">
        <v>286</v>
      </c>
      <c r="C70" s="82" t="s">
        <v>260</v>
      </c>
      <c r="D70" s="83" t="s">
        <v>287</v>
      </c>
      <c r="E70" s="84" t="s">
        <v>282</v>
      </c>
      <c r="F70" s="88" t="s">
        <v>282</v>
      </c>
      <c r="G70" s="88"/>
      <c r="H70" s="9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79">
        <v>61.0</v>
      </c>
      <c r="B71" s="81" t="s">
        <v>288</v>
      </c>
      <c r="C71" s="82" t="s">
        <v>260</v>
      </c>
      <c r="D71" s="83" t="s">
        <v>289</v>
      </c>
      <c r="E71" s="84" t="s">
        <v>282</v>
      </c>
      <c r="F71" s="88" t="s">
        <v>282</v>
      </c>
      <c r="G71" s="88"/>
      <c r="H71" s="9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79">
        <v>62.0</v>
      </c>
      <c r="B72" s="81" t="s">
        <v>290</v>
      </c>
      <c r="C72" s="82" t="s">
        <v>260</v>
      </c>
      <c r="D72" s="83" t="s">
        <v>291</v>
      </c>
      <c r="E72" s="84" t="s">
        <v>292</v>
      </c>
      <c r="F72" s="88" t="s">
        <v>292</v>
      </c>
      <c r="G72" s="88"/>
      <c r="H72" s="9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79">
        <v>63.0</v>
      </c>
      <c r="B73" s="81" t="s">
        <v>294</v>
      </c>
      <c r="C73" s="82" t="s">
        <v>260</v>
      </c>
      <c r="D73" s="83" t="s">
        <v>295</v>
      </c>
      <c r="E73" s="84" t="s">
        <v>292</v>
      </c>
      <c r="F73" s="88" t="s">
        <v>292</v>
      </c>
      <c r="G73" s="88"/>
      <c r="H73" s="9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79">
        <v>64.0</v>
      </c>
      <c r="B74" s="81" t="s">
        <v>296</v>
      </c>
      <c r="C74" s="82" t="s">
        <v>260</v>
      </c>
      <c r="D74" s="83" t="s">
        <v>297</v>
      </c>
      <c r="E74" s="84" t="s">
        <v>292</v>
      </c>
      <c r="F74" s="88" t="s">
        <v>292</v>
      </c>
      <c r="G74" s="88"/>
      <c r="H74" s="9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79">
        <v>65.0</v>
      </c>
      <c r="B75" s="81" t="s">
        <v>298</v>
      </c>
      <c r="C75" s="82" t="s">
        <v>299</v>
      </c>
      <c r="D75" s="83" t="s">
        <v>300</v>
      </c>
      <c r="E75" s="84" t="s">
        <v>301</v>
      </c>
      <c r="F75" s="88" t="s">
        <v>301</v>
      </c>
      <c r="G75" s="88"/>
      <c r="H75" s="9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79">
        <v>66.0</v>
      </c>
      <c r="B76" s="81" t="s">
        <v>302</v>
      </c>
      <c r="C76" s="82" t="s">
        <v>299</v>
      </c>
      <c r="D76" s="83" t="s">
        <v>303</v>
      </c>
      <c r="E76" s="84" t="s">
        <v>301</v>
      </c>
      <c r="F76" s="88" t="s">
        <v>301</v>
      </c>
      <c r="G76" s="88"/>
      <c r="H76" s="9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79">
        <v>67.0</v>
      </c>
      <c r="B77" s="81" t="s">
        <v>305</v>
      </c>
      <c r="C77" s="82" t="s">
        <v>299</v>
      </c>
      <c r="D77" s="83" t="s">
        <v>306</v>
      </c>
      <c r="E77" s="84" t="s">
        <v>301</v>
      </c>
      <c r="F77" s="88" t="s">
        <v>301</v>
      </c>
      <c r="G77" s="88"/>
      <c r="H77" s="9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79">
        <v>68.0</v>
      </c>
      <c r="B78" s="81" t="s">
        <v>307</v>
      </c>
      <c r="C78" s="82" t="s">
        <v>299</v>
      </c>
      <c r="D78" s="83" t="s">
        <v>308</v>
      </c>
      <c r="E78" s="84" t="s">
        <v>301</v>
      </c>
      <c r="F78" s="88" t="s">
        <v>301</v>
      </c>
      <c r="G78" s="88"/>
      <c r="H78" s="9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79">
        <v>69.0</v>
      </c>
      <c r="B79" s="81" t="s">
        <v>309</v>
      </c>
      <c r="C79" s="82" t="s">
        <v>299</v>
      </c>
      <c r="D79" s="83" t="s">
        <v>310</v>
      </c>
      <c r="E79" s="84" t="s">
        <v>311</v>
      </c>
      <c r="F79" s="88" t="s">
        <v>311</v>
      </c>
      <c r="G79" s="88"/>
      <c r="H79" s="9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79">
        <v>70.0</v>
      </c>
      <c r="B80" s="81" t="s">
        <v>312</v>
      </c>
      <c r="C80" s="82" t="s">
        <v>299</v>
      </c>
      <c r="D80" s="83" t="s">
        <v>313</v>
      </c>
      <c r="E80" s="84" t="s">
        <v>311</v>
      </c>
      <c r="F80" s="88" t="s">
        <v>311</v>
      </c>
      <c r="G80" s="88"/>
      <c r="H80" s="9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79">
        <v>71.0</v>
      </c>
      <c r="B81" s="81" t="s">
        <v>315</v>
      </c>
      <c r="C81" s="82" t="s">
        <v>316</v>
      </c>
      <c r="D81" s="83" t="s">
        <v>317</v>
      </c>
      <c r="E81" s="84" t="s">
        <v>318</v>
      </c>
      <c r="F81" s="88" t="s">
        <v>318</v>
      </c>
      <c r="G81" s="88"/>
      <c r="H81" s="9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79">
        <v>72.0</v>
      </c>
      <c r="B82" s="81" t="s">
        <v>319</v>
      </c>
      <c r="C82" s="82" t="s">
        <v>316</v>
      </c>
      <c r="D82" s="83" t="s">
        <v>320</v>
      </c>
      <c r="E82" s="84" t="s">
        <v>318</v>
      </c>
      <c r="F82" s="88" t="s">
        <v>318</v>
      </c>
      <c r="G82" s="88"/>
      <c r="H82" s="9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79">
        <v>73.0</v>
      </c>
      <c r="B83" s="81" t="s">
        <v>324</v>
      </c>
      <c r="C83" s="82" t="s">
        <v>316</v>
      </c>
      <c r="D83" s="83" t="s">
        <v>325</v>
      </c>
      <c r="E83" s="84" t="s">
        <v>318</v>
      </c>
      <c r="F83" s="88" t="s">
        <v>318</v>
      </c>
      <c r="G83" s="88"/>
      <c r="H83" s="9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79">
        <v>74.0</v>
      </c>
      <c r="B84" s="81" t="s">
        <v>327</v>
      </c>
      <c r="C84" s="82" t="s">
        <v>316</v>
      </c>
      <c r="D84" s="83" t="s">
        <v>328</v>
      </c>
      <c r="E84" s="84" t="s">
        <v>318</v>
      </c>
      <c r="F84" s="88" t="s">
        <v>318</v>
      </c>
      <c r="G84" s="88"/>
      <c r="H84" s="9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79">
        <v>75.0</v>
      </c>
      <c r="B85" s="81" t="s">
        <v>329</v>
      </c>
      <c r="C85" s="82" t="s">
        <v>316</v>
      </c>
      <c r="D85" s="83" t="s">
        <v>330</v>
      </c>
      <c r="E85" s="84" t="s">
        <v>318</v>
      </c>
      <c r="F85" s="88" t="s">
        <v>318</v>
      </c>
      <c r="G85" s="88"/>
      <c r="H85" s="9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79">
        <v>76.0</v>
      </c>
      <c r="B86" s="81" t="s">
        <v>331</v>
      </c>
      <c r="C86" s="82" t="s">
        <v>316</v>
      </c>
      <c r="D86" s="83" t="s">
        <v>332</v>
      </c>
      <c r="E86" s="84" t="s">
        <v>318</v>
      </c>
      <c r="F86" s="88" t="s">
        <v>318</v>
      </c>
      <c r="G86" s="88"/>
      <c r="H86" s="9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79">
        <v>77.0</v>
      </c>
      <c r="B87" s="81" t="s">
        <v>334</v>
      </c>
      <c r="C87" s="82" t="s">
        <v>316</v>
      </c>
      <c r="D87" s="83" t="s">
        <v>335</v>
      </c>
      <c r="E87" s="84" t="s">
        <v>318</v>
      </c>
      <c r="F87" s="88" t="s">
        <v>318</v>
      </c>
      <c r="G87" s="88"/>
      <c r="H87" s="9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79">
        <v>78.0</v>
      </c>
      <c r="B88" s="81" t="s">
        <v>336</v>
      </c>
      <c r="C88" s="82" t="s">
        <v>316</v>
      </c>
      <c r="D88" s="83" t="s">
        <v>337</v>
      </c>
      <c r="E88" s="84" t="s">
        <v>318</v>
      </c>
      <c r="F88" s="88" t="s">
        <v>318</v>
      </c>
      <c r="G88" s="88"/>
      <c r="H88" s="9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79">
        <v>79.0</v>
      </c>
      <c r="B89" s="81" t="s">
        <v>339</v>
      </c>
      <c r="C89" s="82" t="s">
        <v>316</v>
      </c>
      <c r="D89" s="83" t="s">
        <v>340</v>
      </c>
      <c r="E89" s="84" t="s">
        <v>318</v>
      </c>
      <c r="F89" s="88" t="s">
        <v>318</v>
      </c>
      <c r="G89" s="88"/>
      <c r="H89" s="9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79">
        <v>80.0</v>
      </c>
      <c r="B90" s="81" t="s">
        <v>341</v>
      </c>
      <c r="C90" s="82" t="s">
        <v>316</v>
      </c>
      <c r="D90" s="83" t="s">
        <v>342</v>
      </c>
      <c r="E90" s="84" t="s">
        <v>318</v>
      </c>
      <c r="F90" s="88" t="s">
        <v>318</v>
      </c>
      <c r="G90" s="88"/>
      <c r="H90" s="9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79">
        <v>81.0</v>
      </c>
      <c r="B91" s="81" t="s">
        <v>344</v>
      </c>
      <c r="C91" s="82" t="s">
        <v>316</v>
      </c>
      <c r="D91" s="83" t="s">
        <v>345</v>
      </c>
      <c r="E91" s="84" t="s">
        <v>318</v>
      </c>
      <c r="F91" s="88" t="s">
        <v>318</v>
      </c>
      <c r="G91" s="88"/>
      <c r="H91" s="9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79">
        <v>82.0</v>
      </c>
      <c r="B92" s="81" t="s">
        <v>346</v>
      </c>
      <c r="C92" s="82" t="s">
        <v>347</v>
      </c>
      <c r="D92" s="83" t="s">
        <v>348</v>
      </c>
      <c r="E92" s="84" t="s">
        <v>318</v>
      </c>
      <c r="F92" s="88" t="s">
        <v>318</v>
      </c>
      <c r="G92" s="88"/>
      <c r="H92" s="9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79">
        <v>83.0</v>
      </c>
      <c r="B93" s="81" t="s">
        <v>349</v>
      </c>
      <c r="C93" s="82" t="s">
        <v>350</v>
      </c>
      <c r="D93" s="83" t="s">
        <v>351</v>
      </c>
      <c r="E93" s="84" t="s">
        <v>352</v>
      </c>
      <c r="F93" s="88" t="s">
        <v>352</v>
      </c>
      <c r="G93" s="88"/>
      <c r="H93" s="9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79">
        <v>84.0</v>
      </c>
      <c r="B94" s="81" t="s">
        <v>353</v>
      </c>
      <c r="C94" s="82" t="s">
        <v>350</v>
      </c>
      <c r="D94" s="83" t="s">
        <v>354</v>
      </c>
      <c r="E94" s="84" t="s">
        <v>352</v>
      </c>
      <c r="F94" s="88" t="s">
        <v>352</v>
      </c>
      <c r="G94" s="88"/>
      <c r="H94" s="9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79">
        <v>85.0</v>
      </c>
      <c r="B95" s="81" t="s">
        <v>356</v>
      </c>
      <c r="C95" s="82" t="s">
        <v>350</v>
      </c>
      <c r="D95" s="83" t="s">
        <v>357</v>
      </c>
      <c r="E95" s="84" t="s">
        <v>352</v>
      </c>
      <c r="F95" s="88" t="s">
        <v>352</v>
      </c>
      <c r="G95" s="88"/>
      <c r="H95" s="9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79">
        <v>86.0</v>
      </c>
      <c r="B96" s="81" t="s">
        <v>358</v>
      </c>
      <c r="C96" s="82" t="s">
        <v>350</v>
      </c>
      <c r="D96" s="83" t="s">
        <v>359</v>
      </c>
      <c r="E96" s="84" t="s">
        <v>352</v>
      </c>
      <c r="F96" s="88" t="s">
        <v>352</v>
      </c>
      <c r="G96" s="88"/>
      <c r="H96" s="9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79">
        <v>87.0</v>
      </c>
      <c r="B97" s="81" t="s">
        <v>360</v>
      </c>
      <c r="C97" s="82" t="s">
        <v>350</v>
      </c>
      <c r="D97" s="83" t="s">
        <v>361</v>
      </c>
      <c r="E97" s="84" t="s">
        <v>352</v>
      </c>
      <c r="F97" s="88" t="s">
        <v>352</v>
      </c>
      <c r="G97" s="88"/>
      <c r="H97" s="9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79">
        <v>88.0</v>
      </c>
      <c r="B98" s="81" t="s">
        <v>363</v>
      </c>
      <c r="C98" s="82" t="s">
        <v>350</v>
      </c>
      <c r="D98" s="83" t="s">
        <v>364</v>
      </c>
      <c r="E98" s="84" t="s">
        <v>365</v>
      </c>
      <c r="F98" s="88" t="s">
        <v>365</v>
      </c>
      <c r="G98" s="88"/>
      <c r="H98" s="9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79">
        <v>89.0</v>
      </c>
      <c r="B99" s="81" t="s">
        <v>366</v>
      </c>
      <c r="C99" s="82" t="s">
        <v>350</v>
      </c>
      <c r="D99" s="83" t="s">
        <v>367</v>
      </c>
      <c r="E99" s="84" t="s">
        <v>365</v>
      </c>
      <c r="F99" s="88" t="s">
        <v>365</v>
      </c>
      <c r="G99" s="88"/>
      <c r="H99" s="9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79">
        <v>90.0</v>
      </c>
      <c r="B100" s="81" t="s">
        <v>369</v>
      </c>
      <c r="C100" s="82" t="s">
        <v>350</v>
      </c>
      <c r="D100" s="83" t="s">
        <v>325</v>
      </c>
      <c r="E100" s="84" t="s">
        <v>365</v>
      </c>
      <c r="F100" s="88" t="s">
        <v>365</v>
      </c>
      <c r="G100" s="88"/>
      <c r="H100" s="9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0" customHeight="1">
      <c r="A101" s="79">
        <v>91.0</v>
      </c>
      <c r="B101" s="81" t="s">
        <v>370</v>
      </c>
      <c r="C101" s="82" t="s">
        <v>371</v>
      </c>
      <c r="D101" s="83" t="s">
        <v>372</v>
      </c>
      <c r="E101" s="84" t="s">
        <v>373</v>
      </c>
      <c r="F101" s="88" t="s">
        <v>373</v>
      </c>
      <c r="G101" s="88"/>
      <c r="H101" s="9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79">
        <v>92.0</v>
      </c>
      <c r="B102" s="81" t="s">
        <v>375</v>
      </c>
      <c r="C102" s="82" t="s">
        <v>376</v>
      </c>
      <c r="D102" s="83" t="s">
        <v>377</v>
      </c>
      <c r="E102" s="84" t="s">
        <v>378</v>
      </c>
      <c r="F102" s="88" t="s">
        <v>378</v>
      </c>
      <c r="G102" s="88"/>
      <c r="H102" s="9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79">
        <v>93.0</v>
      </c>
      <c r="B103" s="81" t="s">
        <v>379</v>
      </c>
      <c r="C103" s="82" t="s">
        <v>376</v>
      </c>
      <c r="D103" s="83" t="s">
        <v>380</v>
      </c>
      <c r="E103" s="84" t="s">
        <v>378</v>
      </c>
      <c r="F103" s="88" t="s">
        <v>378</v>
      </c>
      <c r="G103" s="88"/>
      <c r="H103" s="9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79">
        <v>94.0</v>
      </c>
      <c r="B104" s="81" t="s">
        <v>381</v>
      </c>
      <c r="C104" s="82" t="s">
        <v>260</v>
      </c>
      <c r="D104" s="83" t="s">
        <v>383</v>
      </c>
      <c r="E104" s="84" t="s">
        <v>384</v>
      </c>
      <c r="F104" s="88" t="s">
        <v>384</v>
      </c>
      <c r="G104" s="88"/>
      <c r="H104" s="9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79">
        <v>95.0</v>
      </c>
      <c r="B105" s="81" t="s">
        <v>385</v>
      </c>
      <c r="C105" s="82" t="s">
        <v>260</v>
      </c>
      <c r="D105" s="83" t="s">
        <v>264</v>
      </c>
      <c r="E105" s="84" t="s">
        <v>384</v>
      </c>
      <c r="F105" s="88" t="s">
        <v>384</v>
      </c>
      <c r="G105" s="88"/>
      <c r="H105" s="9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79">
        <v>96.0</v>
      </c>
      <c r="B106" s="81" t="s">
        <v>386</v>
      </c>
      <c r="C106" s="82" t="s">
        <v>260</v>
      </c>
      <c r="D106" s="83" t="s">
        <v>387</v>
      </c>
      <c r="E106" s="84" t="s">
        <v>384</v>
      </c>
      <c r="F106" s="88" t="s">
        <v>384</v>
      </c>
      <c r="G106" s="88"/>
      <c r="H106" s="9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0" customHeight="1">
      <c r="A107" s="79">
        <v>97.0</v>
      </c>
      <c r="B107" s="81" t="s">
        <v>389</v>
      </c>
      <c r="C107" s="82" t="s">
        <v>390</v>
      </c>
      <c r="D107" s="83" t="s">
        <v>391</v>
      </c>
      <c r="E107" s="84" t="s">
        <v>392</v>
      </c>
      <c r="F107" s="88" t="s">
        <v>392</v>
      </c>
      <c r="G107" s="88"/>
      <c r="H107" s="9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79">
        <v>98.0</v>
      </c>
      <c r="B108" s="81" t="s">
        <v>393</v>
      </c>
      <c r="C108" s="82" t="s">
        <v>390</v>
      </c>
      <c r="D108" s="83" t="s">
        <v>394</v>
      </c>
      <c r="E108" s="84" t="s">
        <v>392</v>
      </c>
      <c r="F108" s="88" t="s">
        <v>392</v>
      </c>
      <c r="G108" s="88"/>
      <c r="H108" s="9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79">
        <v>99.0</v>
      </c>
      <c r="B109" s="81" t="s">
        <v>395</v>
      </c>
      <c r="C109" s="82" t="s">
        <v>390</v>
      </c>
      <c r="D109" s="83" t="s">
        <v>396</v>
      </c>
      <c r="E109" s="84" t="s">
        <v>392</v>
      </c>
      <c r="F109" s="88" t="s">
        <v>392</v>
      </c>
      <c r="G109" s="88"/>
      <c r="H109" s="9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79">
        <v>100.0</v>
      </c>
      <c r="B110" s="81" t="s">
        <v>397</v>
      </c>
      <c r="C110" s="82" t="s">
        <v>390</v>
      </c>
      <c r="D110" s="83" t="s">
        <v>398</v>
      </c>
      <c r="E110" s="84" t="s">
        <v>400</v>
      </c>
      <c r="F110" s="88" t="s">
        <v>400</v>
      </c>
      <c r="G110" s="88"/>
      <c r="H110" s="9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79">
        <v>101.0</v>
      </c>
      <c r="B111" s="81" t="s">
        <v>401</v>
      </c>
      <c r="C111" s="82" t="s">
        <v>390</v>
      </c>
      <c r="D111" s="83" t="s">
        <v>402</v>
      </c>
      <c r="E111" s="84" t="s">
        <v>400</v>
      </c>
      <c r="F111" s="88" t="s">
        <v>400</v>
      </c>
      <c r="G111" s="88"/>
      <c r="H111" s="9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79">
        <v>102.0</v>
      </c>
      <c r="B112" s="81" t="s">
        <v>403</v>
      </c>
      <c r="C112" s="82" t="s">
        <v>390</v>
      </c>
      <c r="D112" s="83" t="s">
        <v>404</v>
      </c>
      <c r="E112" s="84" t="s">
        <v>400</v>
      </c>
      <c r="F112" s="88" t="s">
        <v>400</v>
      </c>
      <c r="G112" s="88"/>
      <c r="H112" s="9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79">
        <v>103.0</v>
      </c>
      <c r="B113" s="81" t="s">
        <v>405</v>
      </c>
      <c r="C113" s="82" t="s">
        <v>406</v>
      </c>
      <c r="D113" s="83" t="s">
        <v>407</v>
      </c>
      <c r="E113" s="84" t="s">
        <v>408</v>
      </c>
      <c r="F113" s="88" t="s">
        <v>408</v>
      </c>
      <c r="G113" s="88"/>
      <c r="H113" s="9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79">
        <v>104.0</v>
      </c>
      <c r="B114" s="81" t="s">
        <v>410</v>
      </c>
      <c r="C114" s="82" t="s">
        <v>406</v>
      </c>
      <c r="D114" s="83" t="s">
        <v>411</v>
      </c>
      <c r="E114" s="84" t="s">
        <v>408</v>
      </c>
      <c r="F114" s="88" t="s">
        <v>408</v>
      </c>
      <c r="G114" s="88"/>
      <c r="H114" s="9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79">
        <v>105.0</v>
      </c>
      <c r="B115" s="81" t="s">
        <v>412</v>
      </c>
      <c r="C115" s="82" t="s">
        <v>406</v>
      </c>
      <c r="D115" s="83" t="s">
        <v>413</v>
      </c>
      <c r="E115" s="84" t="s">
        <v>408</v>
      </c>
      <c r="F115" s="88" t="s">
        <v>408</v>
      </c>
      <c r="G115" s="88"/>
      <c r="H115" s="9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79">
        <v>106.0</v>
      </c>
      <c r="B116" s="81" t="s">
        <v>414</v>
      </c>
      <c r="C116" s="82" t="s">
        <v>406</v>
      </c>
      <c r="D116" s="83" t="s">
        <v>415</v>
      </c>
      <c r="E116" s="84" t="s">
        <v>408</v>
      </c>
      <c r="F116" s="88" t="s">
        <v>408</v>
      </c>
      <c r="G116" s="88"/>
      <c r="H116" s="9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79">
        <v>107.0</v>
      </c>
      <c r="B117" s="81" t="s">
        <v>417</v>
      </c>
      <c r="C117" s="82" t="s">
        <v>390</v>
      </c>
      <c r="D117" s="83" t="s">
        <v>418</v>
      </c>
      <c r="E117" s="84" t="s">
        <v>419</v>
      </c>
      <c r="F117" s="88" t="s">
        <v>419</v>
      </c>
      <c r="G117" s="88"/>
      <c r="H117" s="9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79">
        <v>108.0</v>
      </c>
      <c r="B118" s="81" t="s">
        <v>420</v>
      </c>
      <c r="C118" s="82" t="s">
        <v>390</v>
      </c>
      <c r="D118" s="83" t="s">
        <v>421</v>
      </c>
      <c r="E118" s="84" t="s">
        <v>419</v>
      </c>
      <c r="F118" s="88" t="s">
        <v>419</v>
      </c>
      <c r="G118" s="88"/>
      <c r="H118" s="9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79">
        <v>109.0</v>
      </c>
      <c r="B119" s="81" t="s">
        <v>422</v>
      </c>
      <c r="C119" s="82" t="s">
        <v>406</v>
      </c>
      <c r="D119" s="83" t="s">
        <v>423</v>
      </c>
      <c r="E119" s="84" t="s">
        <v>419</v>
      </c>
      <c r="F119" s="88" t="s">
        <v>419</v>
      </c>
      <c r="G119" s="88"/>
      <c r="H119" s="9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79">
        <v>110.0</v>
      </c>
      <c r="B120" s="81" t="s">
        <v>425</v>
      </c>
      <c r="C120" s="82" t="s">
        <v>406</v>
      </c>
      <c r="D120" s="83" t="s">
        <v>426</v>
      </c>
      <c r="E120" s="84" t="s">
        <v>419</v>
      </c>
      <c r="F120" s="88" t="s">
        <v>419</v>
      </c>
      <c r="G120" s="88"/>
      <c r="H120" s="9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79">
        <v>111.0</v>
      </c>
      <c r="B121" s="81" t="s">
        <v>427</v>
      </c>
      <c r="C121" s="82" t="s">
        <v>428</v>
      </c>
      <c r="D121" s="83" t="s">
        <v>429</v>
      </c>
      <c r="E121" s="84" t="s">
        <v>430</v>
      </c>
      <c r="F121" s="88" t="s">
        <v>430</v>
      </c>
      <c r="G121" s="88"/>
      <c r="H121" s="9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79">
        <v>112.0</v>
      </c>
      <c r="B122" s="81" t="s">
        <v>431</v>
      </c>
      <c r="C122" s="82" t="s">
        <v>428</v>
      </c>
      <c r="D122" s="83" t="s">
        <v>432</v>
      </c>
      <c r="E122" s="84" t="s">
        <v>430</v>
      </c>
      <c r="F122" s="88" t="s">
        <v>430</v>
      </c>
      <c r="G122" s="88"/>
      <c r="H122" s="9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79">
        <v>113.0</v>
      </c>
      <c r="B123" s="81" t="s">
        <v>434</v>
      </c>
      <c r="C123" s="82" t="s">
        <v>428</v>
      </c>
      <c r="D123" s="83" t="s">
        <v>435</v>
      </c>
      <c r="E123" s="84" t="s">
        <v>436</v>
      </c>
      <c r="F123" s="88" t="s">
        <v>436</v>
      </c>
      <c r="G123" s="88"/>
      <c r="H123" s="9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79">
        <v>114.0</v>
      </c>
      <c r="B124" s="81" t="s">
        <v>437</v>
      </c>
      <c r="C124" s="82" t="s">
        <v>428</v>
      </c>
      <c r="D124" s="83" t="s">
        <v>438</v>
      </c>
      <c r="E124" s="84" t="s">
        <v>436</v>
      </c>
      <c r="F124" s="88" t="s">
        <v>436</v>
      </c>
      <c r="G124" s="88"/>
      <c r="H124" s="9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79">
        <v>115.0</v>
      </c>
      <c r="B125" s="81" t="s">
        <v>439</v>
      </c>
      <c r="C125" s="82" t="s">
        <v>428</v>
      </c>
      <c r="D125" s="83" t="s">
        <v>440</v>
      </c>
      <c r="E125" s="84" t="s">
        <v>441</v>
      </c>
      <c r="F125" s="88" t="s">
        <v>441</v>
      </c>
      <c r="G125" s="88"/>
      <c r="H125" s="9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0.0" customHeight="1">
      <c r="A126" s="79">
        <v>116.0</v>
      </c>
      <c r="B126" s="81" t="s">
        <v>442</v>
      </c>
      <c r="C126" s="82" t="s">
        <v>428</v>
      </c>
      <c r="D126" s="83" t="s">
        <v>264</v>
      </c>
      <c r="E126" s="84" t="s">
        <v>441</v>
      </c>
      <c r="F126" s="88" t="s">
        <v>441</v>
      </c>
      <c r="G126" s="88"/>
      <c r="H126" s="9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79">
        <v>117.0</v>
      </c>
      <c r="B127" s="81" t="s">
        <v>444</v>
      </c>
      <c r="C127" s="82" t="s">
        <v>350</v>
      </c>
      <c r="D127" s="83" t="s">
        <v>445</v>
      </c>
      <c r="E127" s="84" t="s">
        <v>446</v>
      </c>
      <c r="F127" s="88" t="s">
        <v>446</v>
      </c>
      <c r="G127" s="88"/>
      <c r="H127" s="9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79">
        <v>118.0</v>
      </c>
      <c r="B128" s="81" t="s">
        <v>447</v>
      </c>
      <c r="C128" s="82" t="s">
        <v>350</v>
      </c>
      <c r="D128" s="83" t="s">
        <v>448</v>
      </c>
      <c r="E128" s="84" t="s">
        <v>446</v>
      </c>
      <c r="F128" s="88" t="s">
        <v>446</v>
      </c>
      <c r="G128" s="88"/>
      <c r="H128" s="9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79">
        <v>119.0</v>
      </c>
      <c r="B129" s="81" t="s">
        <v>449</v>
      </c>
      <c r="C129" s="82" t="s">
        <v>350</v>
      </c>
      <c r="D129" s="83" t="s">
        <v>450</v>
      </c>
      <c r="E129" s="84" t="s">
        <v>451</v>
      </c>
      <c r="F129" s="88" t="s">
        <v>451</v>
      </c>
      <c r="G129" s="88"/>
      <c r="H129" s="9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79">
        <v>120.0</v>
      </c>
      <c r="B130" s="81" t="s">
        <v>453</v>
      </c>
      <c r="C130" s="82" t="s">
        <v>350</v>
      </c>
      <c r="D130" s="83" t="s">
        <v>454</v>
      </c>
      <c r="E130" s="84" t="s">
        <v>451</v>
      </c>
      <c r="F130" s="88" t="s">
        <v>451</v>
      </c>
      <c r="G130" s="88"/>
      <c r="H130" s="9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79">
        <v>121.0</v>
      </c>
      <c r="B131" s="81" t="s">
        <v>455</v>
      </c>
      <c r="C131" s="82" t="s">
        <v>350</v>
      </c>
      <c r="D131" s="83" t="s">
        <v>456</v>
      </c>
      <c r="E131" s="84" t="s">
        <v>451</v>
      </c>
      <c r="F131" s="88" t="s">
        <v>451</v>
      </c>
      <c r="G131" s="88"/>
      <c r="H131" s="9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79">
        <v>122.0</v>
      </c>
      <c r="B132" s="81" t="s">
        <v>457</v>
      </c>
      <c r="C132" s="82" t="s">
        <v>350</v>
      </c>
      <c r="D132" s="83" t="s">
        <v>359</v>
      </c>
      <c r="E132" s="84" t="s">
        <v>451</v>
      </c>
      <c r="F132" s="88" t="s">
        <v>451</v>
      </c>
      <c r="G132" s="88"/>
      <c r="H132" s="9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79">
        <v>123.0</v>
      </c>
      <c r="B133" s="81" t="s">
        <v>458</v>
      </c>
      <c r="C133" s="82" t="s">
        <v>459</v>
      </c>
      <c r="D133" s="83" t="s">
        <v>460</v>
      </c>
      <c r="E133" s="84" t="s">
        <v>461</v>
      </c>
      <c r="F133" s="88" t="s">
        <v>461</v>
      </c>
      <c r="G133" s="88"/>
      <c r="H133" s="9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79">
        <v>124.0</v>
      </c>
      <c r="B134" s="81" t="s">
        <v>463</v>
      </c>
      <c r="C134" s="82" t="s">
        <v>459</v>
      </c>
      <c r="D134" s="83" t="s">
        <v>464</v>
      </c>
      <c r="E134" s="84" t="s">
        <v>461</v>
      </c>
      <c r="F134" s="88" t="s">
        <v>461</v>
      </c>
      <c r="G134" s="88"/>
      <c r="H134" s="9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79">
        <v>125.0</v>
      </c>
      <c r="B135" s="81" t="s">
        <v>465</v>
      </c>
      <c r="C135" s="82" t="s">
        <v>459</v>
      </c>
      <c r="D135" s="83" t="s">
        <v>466</v>
      </c>
      <c r="E135" s="84" t="s">
        <v>461</v>
      </c>
      <c r="F135" s="88" t="s">
        <v>461</v>
      </c>
      <c r="G135" s="88"/>
      <c r="H135" s="9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79">
        <v>126.0</v>
      </c>
      <c r="B136" s="81" t="s">
        <v>467</v>
      </c>
      <c r="C136" s="82" t="s">
        <v>459</v>
      </c>
      <c r="D136" s="83" t="s">
        <v>468</v>
      </c>
      <c r="E136" s="84" t="s">
        <v>469</v>
      </c>
      <c r="F136" s="88" t="s">
        <v>469</v>
      </c>
      <c r="G136" s="88"/>
      <c r="H136" s="9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79">
        <v>127.0</v>
      </c>
      <c r="B137" s="81" t="s">
        <v>470</v>
      </c>
      <c r="C137" s="82" t="s">
        <v>459</v>
      </c>
      <c r="D137" s="83" t="s">
        <v>448</v>
      </c>
      <c r="E137" s="84" t="s">
        <v>469</v>
      </c>
      <c r="F137" s="88" t="s">
        <v>469</v>
      </c>
      <c r="G137" s="88"/>
      <c r="H137" s="9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79">
        <v>128.0</v>
      </c>
      <c r="B138" s="81" t="s">
        <v>472</v>
      </c>
      <c r="C138" s="82" t="s">
        <v>459</v>
      </c>
      <c r="D138" s="83" t="s">
        <v>473</v>
      </c>
      <c r="E138" s="84" t="s">
        <v>469</v>
      </c>
      <c r="F138" s="88" t="s">
        <v>469</v>
      </c>
      <c r="G138" s="88"/>
      <c r="H138" s="9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79">
        <v>129.0</v>
      </c>
      <c r="B139" s="81" t="s">
        <v>474</v>
      </c>
      <c r="C139" s="82" t="s">
        <v>459</v>
      </c>
      <c r="D139" s="83" t="s">
        <v>475</v>
      </c>
      <c r="E139" s="84" t="s">
        <v>469</v>
      </c>
      <c r="F139" s="88" t="s">
        <v>469</v>
      </c>
      <c r="G139" s="88"/>
      <c r="H139" s="9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79">
        <v>130.0</v>
      </c>
      <c r="B140" s="81" t="s">
        <v>476</v>
      </c>
      <c r="C140" s="82" t="s">
        <v>459</v>
      </c>
      <c r="D140" s="83" t="s">
        <v>477</v>
      </c>
      <c r="E140" s="84" t="s">
        <v>478</v>
      </c>
      <c r="F140" s="88" t="s">
        <v>478</v>
      </c>
      <c r="G140" s="88"/>
      <c r="H140" s="9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79">
        <v>131.0</v>
      </c>
      <c r="B141" s="81" t="s">
        <v>479</v>
      </c>
      <c r="C141" s="82" t="s">
        <v>459</v>
      </c>
      <c r="D141" s="83" t="s">
        <v>480</v>
      </c>
      <c r="E141" s="84" t="s">
        <v>478</v>
      </c>
      <c r="F141" s="88" t="s">
        <v>478</v>
      </c>
      <c r="G141" s="88"/>
      <c r="H141" s="9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79">
        <v>132.0</v>
      </c>
      <c r="B142" s="81" t="s">
        <v>482</v>
      </c>
      <c r="C142" s="82" t="s">
        <v>459</v>
      </c>
      <c r="D142" s="83" t="s">
        <v>483</v>
      </c>
      <c r="E142" s="84" t="s">
        <v>478</v>
      </c>
      <c r="F142" s="88" t="s">
        <v>478</v>
      </c>
      <c r="G142" s="88"/>
      <c r="H142" s="9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79">
        <v>133.0</v>
      </c>
      <c r="B143" s="81" t="s">
        <v>484</v>
      </c>
      <c r="C143" s="82" t="s">
        <v>459</v>
      </c>
      <c r="D143" s="83" t="s">
        <v>485</v>
      </c>
      <c r="E143" s="84" t="s">
        <v>478</v>
      </c>
      <c r="F143" s="88" t="s">
        <v>478</v>
      </c>
      <c r="G143" s="88"/>
      <c r="H143" s="9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79">
        <v>134.0</v>
      </c>
      <c r="B144" s="81" t="s">
        <v>487</v>
      </c>
      <c r="C144" s="82" t="s">
        <v>459</v>
      </c>
      <c r="D144" s="83" t="s">
        <v>488</v>
      </c>
      <c r="E144" s="84" t="s">
        <v>489</v>
      </c>
      <c r="F144" s="88" t="s">
        <v>489</v>
      </c>
      <c r="G144" s="88"/>
      <c r="H144" s="9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79">
        <v>135.0</v>
      </c>
      <c r="B145" s="81" t="s">
        <v>490</v>
      </c>
      <c r="C145" s="82" t="s">
        <v>459</v>
      </c>
      <c r="D145" s="83" t="s">
        <v>454</v>
      </c>
      <c r="E145" s="84" t="s">
        <v>489</v>
      </c>
      <c r="F145" s="88" t="s">
        <v>489</v>
      </c>
      <c r="G145" s="88"/>
      <c r="H145" s="9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79">
        <v>136.0</v>
      </c>
      <c r="B146" s="81" t="s">
        <v>491</v>
      </c>
      <c r="C146" s="82" t="s">
        <v>459</v>
      </c>
      <c r="D146" s="83" t="s">
        <v>492</v>
      </c>
      <c r="E146" s="84" t="s">
        <v>489</v>
      </c>
      <c r="F146" s="88" t="s">
        <v>489</v>
      </c>
      <c r="G146" s="88"/>
      <c r="H146" s="9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79">
        <v>137.0</v>
      </c>
      <c r="B147" s="81" t="s">
        <v>494</v>
      </c>
      <c r="C147" s="82" t="s">
        <v>495</v>
      </c>
      <c r="D147" s="83" t="s">
        <v>496</v>
      </c>
      <c r="E147" s="84" t="s">
        <v>497</v>
      </c>
      <c r="F147" s="88" t="s">
        <v>497</v>
      </c>
      <c r="G147" s="88"/>
      <c r="H147" s="9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79">
        <v>138.0</v>
      </c>
      <c r="B148" s="81" t="s">
        <v>498</v>
      </c>
      <c r="C148" s="82" t="s">
        <v>495</v>
      </c>
      <c r="D148" s="83" t="s">
        <v>224</v>
      </c>
      <c r="E148" s="84" t="s">
        <v>497</v>
      </c>
      <c r="F148" s="88" t="s">
        <v>497</v>
      </c>
      <c r="G148" s="88"/>
      <c r="H148" s="9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79">
        <v>139.0</v>
      </c>
      <c r="B149" s="81" t="s">
        <v>500</v>
      </c>
      <c r="C149" s="82" t="s">
        <v>495</v>
      </c>
      <c r="D149" s="83" t="s">
        <v>261</v>
      </c>
      <c r="E149" s="84" t="s">
        <v>497</v>
      </c>
      <c r="F149" s="88" t="s">
        <v>497</v>
      </c>
      <c r="G149" s="88"/>
      <c r="H149" s="9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79">
        <v>140.0</v>
      </c>
      <c r="B150" s="81" t="s">
        <v>501</v>
      </c>
      <c r="C150" s="82" t="s">
        <v>495</v>
      </c>
      <c r="D150" s="83" t="s">
        <v>502</v>
      </c>
      <c r="E150" s="84" t="s">
        <v>497</v>
      </c>
      <c r="F150" s="88" t="s">
        <v>497</v>
      </c>
      <c r="G150" s="88"/>
      <c r="H150" s="9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79">
        <v>141.0</v>
      </c>
      <c r="B151" s="81" t="s">
        <v>504</v>
      </c>
      <c r="C151" s="82" t="s">
        <v>495</v>
      </c>
      <c r="D151" s="83" t="s">
        <v>383</v>
      </c>
      <c r="E151" s="84" t="s">
        <v>497</v>
      </c>
      <c r="F151" s="88" t="s">
        <v>497</v>
      </c>
      <c r="G151" s="88"/>
      <c r="H151" s="9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79">
        <v>142.0</v>
      </c>
      <c r="B152" s="81" t="s">
        <v>505</v>
      </c>
      <c r="C152" s="82" t="s">
        <v>495</v>
      </c>
      <c r="D152" s="83" t="s">
        <v>506</v>
      </c>
      <c r="E152" s="84" t="s">
        <v>497</v>
      </c>
      <c r="F152" s="88" t="s">
        <v>497</v>
      </c>
      <c r="G152" s="88"/>
      <c r="H152" s="9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79">
        <v>143.0</v>
      </c>
      <c r="B153" s="81" t="s">
        <v>507</v>
      </c>
      <c r="C153" s="82" t="s">
        <v>495</v>
      </c>
      <c r="D153" s="83" t="s">
        <v>509</v>
      </c>
      <c r="E153" s="84" t="s">
        <v>510</v>
      </c>
      <c r="F153" s="88" t="s">
        <v>510</v>
      </c>
      <c r="G153" s="88"/>
      <c r="H153" s="9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79">
        <v>144.0</v>
      </c>
      <c r="B154" s="81" t="s">
        <v>511</v>
      </c>
      <c r="C154" s="82" t="s">
        <v>495</v>
      </c>
      <c r="D154" s="83" t="s">
        <v>512</v>
      </c>
      <c r="E154" s="84" t="s">
        <v>510</v>
      </c>
      <c r="F154" s="88" t="s">
        <v>510</v>
      </c>
      <c r="G154" s="88"/>
      <c r="H154" s="9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79">
        <v>145.0</v>
      </c>
      <c r="B155" s="81" t="s">
        <v>513</v>
      </c>
      <c r="C155" s="82" t="s">
        <v>495</v>
      </c>
      <c r="D155" s="83" t="s">
        <v>281</v>
      </c>
      <c r="E155" s="84" t="s">
        <v>510</v>
      </c>
      <c r="F155" s="88" t="s">
        <v>510</v>
      </c>
      <c r="G155" s="88"/>
      <c r="H155" s="9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79">
        <v>146.0</v>
      </c>
      <c r="B156" s="81" t="s">
        <v>515</v>
      </c>
      <c r="C156" s="82" t="s">
        <v>495</v>
      </c>
      <c r="D156" s="83" t="s">
        <v>287</v>
      </c>
      <c r="E156" s="84" t="s">
        <v>510</v>
      </c>
      <c r="F156" s="88" t="s">
        <v>510</v>
      </c>
      <c r="G156" s="88"/>
      <c r="H156" s="9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79">
        <v>147.0</v>
      </c>
      <c r="B157" s="81" t="s">
        <v>516</v>
      </c>
      <c r="C157" s="82" t="s">
        <v>495</v>
      </c>
      <c r="D157" s="83" t="s">
        <v>289</v>
      </c>
      <c r="E157" s="84" t="s">
        <v>510</v>
      </c>
      <c r="F157" s="88" t="s">
        <v>510</v>
      </c>
      <c r="G157" s="88"/>
      <c r="H157" s="9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79">
        <v>148.0</v>
      </c>
      <c r="B158" s="81" t="s">
        <v>518</v>
      </c>
      <c r="C158" s="82" t="s">
        <v>519</v>
      </c>
      <c r="D158" s="83" t="s">
        <v>520</v>
      </c>
      <c r="E158" s="84" t="s">
        <v>521</v>
      </c>
      <c r="F158" s="88" t="s">
        <v>521</v>
      </c>
      <c r="G158" s="88"/>
      <c r="H158" s="9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79">
        <v>149.0</v>
      </c>
      <c r="B159" s="81" t="s">
        <v>522</v>
      </c>
      <c r="C159" s="82" t="s">
        <v>519</v>
      </c>
      <c r="D159" s="83" t="s">
        <v>523</v>
      </c>
      <c r="E159" s="84" t="s">
        <v>521</v>
      </c>
      <c r="F159" s="88" t="s">
        <v>521</v>
      </c>
      <c r="G159" s="88"/>
      <c r="H159" s="9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79">
        <v>150.0</v>
      </c>
      <c r="B160" s="81" t="s">
        <v>524</v>
      </c>
      <c r="C160" s="82" t="s">
        <v>525</v>
      </c>
      <c r="D160" s="83" t="s">
        <v>526</v>
      </c>
      <c r="E160" s="84" t="s">
        <v>521</v>
      </c>
      <c r="F160" s="88" t="s">
        <v>521</v>
      </c>
      <c r="G160" s="88"/>
      <c r="H160" s="9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79">
        <v>151.0</v>
      </c>
      <c r="B161" s="81" t="s">
        <v>528</v>
      </c>
      <c r="C161" s="82" t="s">
        <v>525</v>
      </c>
      <c r="D161" s="83" t="s">
        <v>529</v>
      </c>
      <c r="E161" s="84" t="s">
        <v>521</v>
      </c>
      <c r="F161" s="88" t="s">
        <v>521</v>
      </c>
      <c r="G161" s="88"/>
      <c r="H161" s="9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79">
        <v>152.0</v>
      </c>
      <c r="B162" s="81" t="s">
        <v>530</v>
      </c>
      <c r="C162" s="82" t="s">
        <v>531</v>
      </c>
      <c r="D162" s="83" t="s">
        <v>532</v>
      </c>
      <c r="E162" s="84" t="s">
        <v>533</v>
      </c>
      <c r="F162" s="88" t="s">
        <v>533</v>
      </c>
      <c r="G162" s="88"/>
      <c r="H162" s="9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79">
        <v>153.0</v>
      </c>
      <c r="B163" s="81" t="s">
        <v>535</v>
      </c>
      <c r="C163" s="82" t="s">
        <v>531</v>
      </c>
      <c r="D163" s="83" t="s">
        <v>536</v>
      </c>
      <c r="E163" s="84" t="s">
        <v>533</v>
      </c>
      <c r="F163" s="88" t="s">
        <v>533</v>
      </c>
      <c r="G163" s="88"/>
      <c r="H163" s="9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79">
        <v>154.0</v>
      </c>
      <c r="B164" s="81" t="s">
        <v>537</v>
      </c>
      <c r="C164" s="82" t="s">
        <v>531</v>
      </c>
      <c r="D164" s="83" t="s">
        <v>538</v>
      </c>
      <c r="E164" s="84" t="s">
        <v>533</v>
      </c>
      <c r="F164" s="88" t="s">
        <v>533</v>
      </c>
      <c r="G164" s="88"/>
      <c r="H164" s="9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79">
        <v>155.0</v>
      </c>
      <c r="B165" s="81" t="s">
        <v>540</v>
      </c>
      <c r="C165" s="82" t="s">
        <v>541</v>
      </c>
      <c r="D165" s="83" t="s">
        <v>542</v>
      </c>
      <c r="E165" s="84" t="s">
        <v>543</v>
      </c>
      <c r="F165" s="88" t="s">
        <v>543</v>
      </c>
      <c r="G165" s="88"/>
      <c r="H165" s="9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79">
        <v>156.0</v>
      </c>
      <c r="B166" s="81" t="s">
        <v>544</v>
      </c>
      <c r="C166" s="82" t="s">
        <v>545</v>
      </c>
      <c r="D166" s="83" t="s">
        <v>546</v>
      </c>
      <c r="E166" s="84" t="s">
        <v>547</v>
      </c>
      <c r="F166" s="88" t="s">
        <v>547</v>
      </c>
      <c r="G166" s="88"/>
      <c r="H166" s="9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79">
        <v>157.0</v>
      </c>
      <c r="B167" s="81" t="s">
        <v>549</v>
      </c>
      <c r="C167" s="82" t="s">
        <v>550</v>
      </c>
      <c r="D167" s="83" t="s">
        <v>551</v>
      </c>
      <c r="E167" s="84" t="s">
        <v>547</v>
      </c>
      <c r="F167" s="88" t="s">
        <v>547</v>
      </c>
      <c r="G167" s="88"/>
      <c r="H167" s="9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79">
        <v>158.0</v>
      </c>
      <c r="B168" s="81" t="s">
        <v>552</v>
      </c>
      <c r="C168" s="82" t="s">
        <v>553</v>
      </c>
      <c r="D168" s="83" t="s">
        <v>554</v>
      </c>
      <c r="E168" s="84" t="s">
        <v>547</v>
      </c>
      <c r="F168" s="88" t="s">
        <v>547</v>
      </c>
      <c r="G168" s="88"/>
      <c r="H168" s="9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79">
        <v>159.0</v>
      </c>
      <c r="B169" s="81" t="s">
        <v>555</v>
      </c>
      <c r="C169" s="82" t="s">
        <v>556</v>
      </c>
      <c r="D169" s="83" t="s">
        <v>557</v>
      </c>
      <c r="E169" s="84" t="s">
        <v>558</v>
      </c>
      <c r="F169" s="88" t="s">
        <v>558</v>
      </c>
      <c r="G169" s="88"/>
      <c r="H169" s="9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79">
        <v>160.0</v>
      </c>
      <c r="B170" s="81" t="s">
        <v>560</v>
      </c>
      <c r="C170" s="82" t="s">
        <v>556</v>
      </c>
      <c r="D170" s="83" t="s">
        <v>561</v>
      </c>
      <c r="E170" s="84" t="s">
        <v>558</v>
      </c>
      <c r="F170" s="88" t="s">
        <v>558</v>
      </c>
      <c r="G170" s="88"/>
      <c r="H170" s="9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79">
        <v>161.0</v>
      </c>
      <c r="B171" s="81" t="s">
        <v>562</v>
      </c>
      <c r="C171" s="82" t="s">
        <v>556</v>
      </c>
      <c r="D171" s="83" t="s">
        <v>563</v>
      </c>
      <c r="E171" s="84" t="s">
        <v>558</v>
      </c>
      <c r="F171" s="88" t="s">
        <v>558</v>
      </c>
      <c r="G171" s="88"/>
      <c r="H171" s="9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79">
        <v>162.0</v>
      </c>
      <c r="B172" s="81" t="s">
        <v>564</v>
      </c>
      <c r="C172" s="82" t="s">
        <v>556</v>
      </c>
      <c r="D172" s="83" t="s">
        <v>565</v>
      </c>
      <c r="E172" s="84" t="s">
        <v>566</v>
      </c>
      <c r="F172" s="88" t="s">
        <v>566</v>
      </c>
      <c r="G172" s="88"/>
      <c r="H172" s="9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79">
        <v>163.0</v>
      </c>
      <c r="B173" s="81" t="s">
        <v>568</v>
      </c>
      <c r="C173" s="82" t="s">
        <v>556</v>
      </c>
      <c r="D173" s="83" t="s">
        <v>569</v>
      </c>
      <c r="E173" s="84" t="s">
        <v>566</v>
      </c>
      <c r="F173" s="88" t="s">
        <v>566</v>
      </c>
      <c r="G173" s="88"/>
      <c r="H173" s="9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79">
        <v>164.0</v>
      </c>
      <c r="B174" s="81" t="s">
        <v>570</v>
      </c>
      <c r="C174" s="82" t="s">
        <v>556</v>
      </c>
      <c r="D174" s="83" t="s">
        <v>571</v>
      </c>
      <c r="E174" s="84" t="s">
        <v>566</v>
      </c>
      <c r="F174" s="88" t="s">
        <v>566</v>
      </c>
      <c r="G174" s="88"/>
      <c r="H174" s="9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79">
        <v>165.0</v>
      </c>
      <c r="B175" s="81" t="s">
        <v>572</v>
      </c>
      <c r="C175" s="82" t="s">
        <v>556</v>
      </c>
      <c r="D175" s="83" t="s">
        <v>573</v>
      </c>
      <c r="E175" s="84" t="s">
        <v>566</v>
      </c>
      <c r="F175" s="88" t="s">
        <v>566</v>
      </c>
      <c r="G175" s="88"/>
      <c r="H175" s="9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79">
        <v>166.0</v>
      </c>
      <c r="B176" s="81" t="s">
        <v>575</v>
      </c>
      <c r="C176" s="82" t="s">
        <v>556</v>
      </c>
      <c r="D176" s="83" t="s">
        <v>576</v>
      </c>
      <c r="E176" s="84" t="s">
        <v>566</v>
      </c>
      <c r="F176" s="88" t="s">
        <v>566</v>
      </c>
      <c r="G176" s="88"/>
      <c r="H176" s="9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79">
        <v>167.0</v>
      </c>
      <c r="B177" s="81" t="s">
        <v>577</v>
      </c>
      <c r="C177" s="82" t="s">
        <v>578</v>
      </c>
      <c r="D177" s="83" t="s">
        <v>579</v>
      </c>
      <c r="E177" s="84" t="s">
        <v>580</v>
      </c>
      <c r="F177" s="88" t="s">
        <v>580</v>
      </c>
      <c r="G177" s="88"/>
      <c r="H177" s="9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79">
        <v>168.0</v>
      </c>
      <c r="B178" s="81" t="s">
        <v>581</v>
      </c>
      <c r="C178" s="82" t="s">
        <v>578</v>
      </c>
      <c r="D178" s="83" t="s">
        <v>582</v>
      </c>
      <c r="E178" s="84" t="s">
        <v>580</v>
      </c>
      <c r="F178" s="88" t="s">
        <v>580</v>
      </c>
      <c r="G178" s="88"/>
      <c r="H178" s="9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79">
        <v>169.0</v>
      </c>
      <c r="B179" s="81" t="s">
        <v>584</v>
      </c>
      <c r="C179" s="82" t="s">
        <v>578</v>
      </c>
      <c r="D179" s="83" t="s">
        <v>585</v>
      </c>
      <c r="E179" s="84" t="s">
        <v>580</v>
      </c>
      <c r="F179" s="88" t="s">
        <v>580</v>
      </c>
      <c r="G179" s="88"/>
      <c r="H179" s="9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79">
        <v>170.0</v>
      </c>
      <c r="B180" s="81" t="s">
        <v>586</v>
      </c>
      <c r="C180" s="82" t="s">
        <v>578</v>
      </c>
      <c r="D180" s="83" t="s">
        <v>587</v>
      </c>
      <c r="E180" s="84" t="s">
        <v>580</v>
      </c>
      <c r="F180" s="88" t="s">
        <v>580</v>
      </c>
      <c r="G180" s="88"/>
      <c r="H180" s="9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79">
        <v>171.0</v>
      </c>
      <c r="B181" s="81" t="s">
        <v>588</v>
      </c>
      <c r="C181" s="82" t="s">
        <v>578</v>
      </c>
      <c r="D181" s="83" t="s">
        <v>589</v>
      </c>
      <c r="E181" s="84" t="s">
        <v>580</v>
      </c>
      <c r="F181" s="88" t="s">
        <v>580</v>
      </c>
      <c r="G181" s="88"/>
      <c r="H181" s="9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79">
        <v>172.0</v>
      </c>
      <c r="B182" s="81" t="s">
        <v>590</v>
      </c>
      <c r="C182" s="82" t="s">
        <v>591</v>
      </c>
      <c r="D182" s="83" t="s">
        <v>592</v>
      </c>
      <c r="E182" s="84" t="s">
        <v>593</v>
      </c>
      <c r="F182" s="88" t="s">
        <v>593</v>
      </c>
      <c r="G182" s="88"/>
      <c r="H182" s="9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79">
        <v>173.0</v>
      </c>
      <c r="B183" s="81" t="s">
        <v>594</v>
      </c>
      <c r="C183" s="82" t="s">
        <v>591</v>
      </c>
      <c r="D183" s="83" t="s">
        <v>595</v>
      </c>
      <c r="E183" s="84" t="s">
        <v>593</v>
      </c>
      <c r="F183" s="88" t="s">
        <v>593</v>
      </c>
      <c r="G183" s="88"/>
      <c r="H183" s="9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79">
        <v>174.0</v>
      </c>
      <c r="B184" s="81" t="s">
        <v>596</v>
      </c>
      <c r="C184" s="82" t="s">
        <v>591</v>
      </c>
      <c r="D184" s="83" t="s">
        <v>597</v>
      </c>
      <c r="E184" s="84" t="s">
        <v>593</v>
      </c>
      <c r="F184" s="88" t="s">
        <v>593</v>
      </c>
      <c r="G184" s="88"/>
      <c r="H184" s="9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79">
        <v>175.0</v>
      </c>
      <c r="B185" s="81" t="s">
        <v>599</v>
      </c>
      <c r="C185" s="82" t="s">
        <v>591</v>
      </c>
      <c r="D185" s="83" t="s">
        <v>600</v>
      </c>
      <c r="E185" s="84" t="s">
        <v>593</v>
      </c>
      <c r="F185" s="88" t="s">
        <v>593</v>
      </c>
      <c r="G185" s="88"/>
      <c r="H185" s="9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79">
        <v>176.0</v>
      </c>
      <c r="B186" s="81" t="s">
        <v>601</v>
      </c>
      <c r="C186" s="82" t="s">
        <v>602</v>
      </c>
      <c r="D186" s="83" t="s">
        <v>603</v>
      </c>
      <c r="E186" s="84" t="s">
        <v>604</v>
      </c>
      <c r="F186" s="88" t="s">
        <v>604</v>
      </c>
      <c r="G186" s="88"/>
      <c r="H186" s="9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79">
        <v>177.0</v>
      </c>
      <c r="B187" s="81" t="s">
        <v>605</v>
      </c>
      <c r="C187" s="82" t="s">
        <v>602</v>
      </c>
      <c r="D187" s="83" t="s">
        <v>606</v>
      </c>
      <c r="E187" s="84" t="s">
        <v>604</v>
      </c>
      <c r="F187" s="88" t="s">
        <v>604</v>
      </c>
      <c r="G187" s="88"/>
      <c r="H187" s="9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79">
        <v>178.0</v>
      </c>
      <c r="B188" s="81" t="s">
        <v>607</v>
      </c>
      <c r="C188" s="82" t="s">
        <v>608</v>
      </c>
      <c r="D188" s="83" t="s">
        <v>609</v>
      </c>
      <c r="E188" s="84" t="s">
        <v>604</v>
      </c>
      <c r="F188" s="88" t="s">
        <v>604</v>
      </c>
      <c r="G188" s="88"/>
      <c r="H188" s="9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79">
        <v>179.0</v>
      </c>
      <c r="B189" s="81" t="s">
        <v>611</v>
      </c>
      <c r="C189" s="82" t="s">
        <v>608</v>
      </c>
      <c r="D189" s="83" t="s">
        <v>612</v>
      </c>
      <c r="E189" s="84" t="s">
        <v>604</v>
      </c>
      <c r="F189" s="88" t="s">
        <v>604</v>
      </c>
      <c r="G189" s="88"/>
      <c r="H189" s="9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79">
        <v>180.0</v>
      </c>
      <c r="B190" s="81" t="s">
        <v>613</v>
      </c>
      <c r="C190" s="82" t="s">
        <v>608</v>
      </c>
      <c r="D190" s="83" t="s">
        <v>614</v>
      </c>
      <c r="E190" s="84" t="s">
        <v>604</v>
      </c>
      <c r="F190" s="88" t="s">
        <v>604</v>
      </c>
      <c r="G190" s="88"/>
      <c r="H190" s="9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79">
        <v>181.0</v>
      </c>
      <c r="B191" s="81" t="s">
        <v>616</v>
      </c>
      <c r="C191" s="82" t="s">
        <v>608</v>
      </c>
      <c r="D191" s="83" t="s">
        <v>617</v>
      </c>
      <c r="E191" s="84" t="s">
        <v>604</v>
      </c>
      <c r="F191" s="88" t="s">
        <v>604</v>
      </c>
      <c r="G191" s="88"/>
      <c r="H191" s="9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79">
        <v>182.0</v>
      </c>
      <c r="B192" s="81" t="s">
        <v>619</v>
      </c>
      <c r="C192" s="82" t="s">
        <v>620</v>
      </c>
      <c r="D192" s="83" t="s">
        <v>621</v>
      </c>
      <c r="E192" s="84" t="s">
        <v>622</v>
      </c>
      <c r="F192" s="88" t="s">
        <v>622</v>
      </c>
      <c r="G192" s="88"/>
      <c r="H192" s="9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79">
        <v>183.0</v>
      </c>
      <c r="B193" s="81" t="s">
        <v>624</v>
      </c>
      <c r="C193" s="82" t="s">
        <v>620</v>
      </c>
      <c r="D193" s="83" t="s">
        <v>625</v>
      </c>
      <c r="E193" s="84" t="s">
        <v>622</v>
      </c>
      <c r="F193" s="88" t="s">
        <v>622</v>
      </c>
      <c r="G193" s="88"/>
      <c r="H193" s="9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79">
        <v>184.0</v>
      </c>
      <c r="B194" s="81" t="s">
        <v>627</v>
      </c>
      <c r="C194" s="82" t="s">
        <v>620</v>
      </c>
      <c r="D194" s="83" t="s">
        <v>628</v>
      </c>
      <c r="E194" s="84" t="s">
        <v>622</v>
      </c>
      <c r="F194" s="88" t="s">
        <v>622</v>
      </c>
      <c r="G194" s="88"/>
      <c r="H194" s="9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79">
        <v>185.0</v>
      </c>
      <c r="B195" s="81" t="s">
        <v>629</v>
      </c>
      <c r="C195" s="82" t="s">
        <v>620</v>
      </c>
      <c r="D195" s="83" t="s">
        <v>630</v>
      </c>
      <c r="E195" s="84" t="s">
        <v>622</v>
      </c>
      <c r="F195" s="88" t="s">
        <v>622</v>
      </c>
      <c r="G195" s="88"/>
      <c r="H195" s="9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79">
        <v>186.0</v>
      </c>
      <c r="B196" s="81" t="s">
        <v>631</v>
      </c>
      <c r="C196" s="82" t="s">
        <v>620</v>
      </c>
      <c r="D196" s="83" t="s">
        <v>632</v>
      </c>
      <c r="E196" s="84" t="s">
        <v>622</v>
      </c>
      <c r="F196" s="88" t="s">
        <v>622</v>
      </c>
      <c r="G196" s="88"/>
      <c r="H196" s="9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79">
        <v>187.0</v>
      </c>
      <c r="B197" s="81" t="s">
        <v>633</v>
      </c>
      <c r="C197" s="82" t="s">
        <v>634</v>
      </c>
      <c r="D197" s="83" t="s">
        <v>635</v>
      </c>
      <c r="E197" s="84" t="s">
        <v>622</v>
      </c>
      <c r="F197" s="88" t="s">
        <v>622</v>
      </c>
      <c r="G197" s="88"/>
      <c r="H197" s="9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79">
        <v>188.0</v>
      </c>
      <c r="B198" s="81" t="s">
        <v>636</v>
      </c>
      <c r="C198" s="82" t="s">
        <v>634</v>
      </c>
      <c r="D198" s="83" t="s">
        <v>637</v>
      </c>
      <c r="E198" s="84" t="s">
        <v>622</v>
      </c>
      <c r="F198" s="88" t="s">
        <v>622</v>
      </c>
      <c r="G198" s="88"/>
      <c r="H198" s="9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79">
        <v>189.0</v>
      </c>
      <c r="B199" s="81" t="s">
        <v>638</v>
      </c>
      <c r="C199" s="82" t="s">
        <v>639</v>
      </c>
      <c r="D199" s="83" t="s">
        <v>640</v>
      </c>
      <c r="E199" s="84" t="s">
        <v>641</v>
      </c>
      <c r="F199" s="88" t="s">
        <v>641</v>
      </c>
      <c r="G199" s="88"/>
      <c r="H199" s="9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79">
        <v>190.0</v>
      </c>
      <c r="B200" s="81" t="s">
        <v>642</v>
      </c>
      <c r="C200" s="82" t="s">
        <v>639</v>
      </c>
      <c r="D200" s="83" t="s">
        <v>643</v>
      </c>
      <c r="E200" s="84" t="s">
        <v>641</v>
      </c>
      <c r="F200" s="88" t="s">
        <v>641</v>
      </c>
      <c r="G200" s="88"/>
      <c r="H200" s="9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79">
        <v>191.0</v>
      </c>
      <c r="B201" s="81" t="s">
        <v>644</v>
      </c>
      <c r="C201" s="82" t="s">
        <v>639</v>
      </c>
      <c r="D201" s="83" t="s">
        <v>645</v>
      </c>
      <c r="E201" s="84" t="s">
        <v>641</v>
      </c>
      <c r="F201" s="88" t="s">
        <v>641</v>
      </c>
      <c r="G201" s="88"/>
      <c r="H201" s="9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79">
        <v>192.0</v>
      </c>
      <c r="B202" s="81" t="s">
        <v>646</v>
      </c>
      <c r="C202" s="82" t="s">
        <v>639</v>
      </c>
      <c r="D202" s="83" t="s">
        <v>647</v>
      </c>
      <c r="E202" s="84" t="s">
        <v>641</v>
      </c>
      <c r="F202" s="88" t="s">
        <v>641</v>
      </c>
      <c r="G202" s="88"/>
      <c r="H202" s="9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79">
        <v>193.0</v>
      </c>
      <c r="B203" s="81" t="s">
        <v>648</v>
      </c>
      <c r="C203" s="82" t="s">
        <v>639</v>
      </c>
      <c r="D203" s="83" t="s">
        <v>649</v>
      </c>
      <c r="E203" s="84" t="s">
        <v>641</v>
      </c>
      <c r="F203" s="88" t="s">
        <v>641</v>
      </c>
      <c r="G203" s="88"/>
      <c r="H203" s="9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79">
        <v>194.0</v>
      </c>
      <c r="B204" s="81" t="s">
        <v>650</v>
      </c>
      <c r="C204" s="82" t="s">
        <v>602</v>
      </c>
      <c r="D204" s="83" t="s">
        <v>651</v>
      </c>
      <c r="E204" s="84" t="s">
        <v>652</v>
      </c>
      <c r="F204" s="88" t="s">
        <v>652</v>
      </c>
      <c r="G204" s="88"/>
      <c r="H204" s="9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79">
        <v>195.0</v>
      </c>
      <c r="B205" s="81" t="s">
        <v>653</v>
      </c>
      <c r="C205" s="82" t="s">
        <v>654</v>
      </c>
      <c r="D205" s="83" t="s">
        <v>655</v>
      </c>
      <c r="E205" s="84" t="s">
        <v>652</v>
      </c>
      <c r="F205" s="88" t="s">
        <v>652</v>
      </c>
      <c r="G205" s="88"/>
      <c r="H205" s="9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79">
        <v>196.0</v>
      </c>
      <c r="B206" s="81" t="s">
        <v>656</v>
      </c>
      <c r="C206" s="82" t="s">
        <v>654</v>
      </c>
      <c r="D206" s="83" t="s">
        <v>657</v>
      </c>
      <c r="E206" s="84" t="s">
        <v>652</v>
      </c>
      <c r="F206" s="88" t="s">
        <v>652</v>
      </c>
      <c r="G206" s="88"/>
      <c r="H206" s="9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79">
        <v>197.0</v>
      </c>
      <c r="B207" s="81" t="s">
        <v>658</v>
      </c>
      <c r="C207" s="82" t="s">
        <v>654</v>
      </c>
      <c r="D207" s="83" t="s">
        <v>659</v>
      </c>
      <c r="E207" s="84" t="s">
        <v>652</v>
      </c>
      <c r="F207" s="88" t="s">
        <v>652</v>
      </c>
      <c r="G207" s="88"/>
      <c r="H207" s="9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79">
        <v>198.0</v>
      </c>
      <c r="B208" s="81" t="s">
        <v>660</v>
      </c>
      <c r="C208" s="82" t="s">
        <v>661</v>
      </c>
      <c r="D208" s="83" t="s">
        <v>468</v>
      </c>
      <c r="E208" s="84" t="s">
        <v>662</v>
      </c>
      <c r="F208" s="88" t="s">
        <v>662</v>
      </c>
      <c r="G208" s="88"/>
      <c r="H208" s="9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79">
        <v>199.0</v>
      </c>
      <c r="B209" s="81" t="s">
        <v>663</v>
      </c>
      <c r="C209" s="82" t="s">
        <v>661</v>
      </c>
      <c r="D209" s="83" t="s">
        <v>448</v>
      </c>
      <c r="E209" s="84" t="s">
        <v>662</v>
      </c>
      <c r="F209" s="88" t="s">
        <v>662</v>
      </c>
      <c r="G209" s="88"/>
      <c r="H209" s="9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79">
        <v>200.0</v>
      </c>
      <c r="B210" s="81" t="s">
        <v>664</v>
      </c>
      <c r="C210" s="82" t="s">
        <v>661</v>
      </c>
      <c r="D210" s="83" t="s">
        <v>665</v>
      </c>
      <c r="E210" s="84" t="s">
        <v>662</v>
      </c>
      <c r="F210" s="88" t="s">
        <v>662</v>
      </c>
      <c r="G210" s="88"/>
      <c r="H210" s="9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79">
        <v>201.0</v>
      </c>
      <c r="B211" s="81" t="s">
        <v>666</v>
      </c>
      <c r="C211" s="82" t="s">
        <v>661</v>
      </c>
      <c r="D211" s="83" t="s">
        <v>667</v>
      </c>
      <c r="E211" s="84" t="s">
        <v>662</v>
      </c>
      <c r="F211" s="88" t="s">
        <v>662</v>
      </c>
      <c r="G211" s="88"/>
      <c r="H211" s="9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79">
        <v>202.0</v>
      </c>
      <c r="B212" s="81" t="s">
        <v>668</v>
      </c>
      <c r="C212" s="82" t="s">
        <v>661</v>
      </c>
      <c r="D212" s="83" t="s">
        <v>669</v>
      </c>
      <c r="E212" s="84" t="s">
        <v>662</v>
      </c>
      <c r="F212" s="88" t="s">
        <v>662</v>
      </c>
      <c r="G212" s="88"/>
      <c r="H212" s="9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79">
        <v>203.0</v>
      </c>
      <c r="B213" s="81" t="s">
        <v>670</v>
      </c>
      <c r="C213" s="82" t="s">
        <v>661</v>
      </c>
      <c r="D213" s="83" t="s">
        <v>480</v>
      </c>
      <c r="E213" s="84" t="s">
        <v>662</v>
      </c>
      <c r="F213" s="88" t="s">
        <v>662</v>
      </c>
      <c r="G213" s="88"/>
      <c r="H213" s="9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79">
        <v>204.0</v>
      </c>
      <c r="B214" s="81" t="s">
        <v>671</v>
      </c>
      <c r="C214" s="82" t="s">
        <v>661</v>
      </c>
      <c r="D214" s="83" t="s">
        <v>475</v>
      </c>
      <c r="E214" s="84" t="s">
        <v>662</v>
      </c>
      <c r="F214" s="88" t="s">
        <v>662</v>
      </c>
      <c r="G214" s="88"/>
      <c r="H214" s="9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79">
        <v>205.0</v>
      </c>
      <c r="B215" s="81" t="s">
        <v>672</v>
      </c>
      <c r="C215" s="82" t="s">
        <v>639</v>
      </c>
      <c r="D215" s="83" t="s">
        <v>673</v>
      </c>
      <c r="E215" s="84" t="s">
        <v>674</v>
      </c>
      <c r="F215" s="88" t="s">
        <v>674</v>
      </c>
      <c r="G215" s="88"/>
      <c r="H215" s="9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79">
        <v>206.0</v>
      </c>
      <c r="B216" s="81" t="s">
        <v>675</v>
      </c>
      <c r="C216" s="82" t="s">
        <v>639</v>
      </c>
      <c r="D216" s="83" t="s">
        <v>676</v>
      </c>
      <c r="E216" s="84" t="s">
        <v>674</v>
      </c>
      <c r="F216" s="88" t="s">
        <v>674</v>
      </c>
      <c r="G216" s="88"/>
      <c r="H216" s="9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79">
        <v>207.0</v>
      </c>
      <c r="B217" s="81" t="s">
        <v>677</v>
      </c>
      <c r="C217" s="82" t="s">
        <v>639</v>
      </c>
      <c r="D217" s="83" t="s">
        <v>678</v>
      </c>
      <c r="E217" s="84" t="s">
        <v>674</v>
      </c>
      <c r="F217" s="88" t="s">
        <v>674</v>
      </c>
      <c r="G217" s="88"/>
      <c r="H217" s="9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79">
        <v>208.0</v>
      </c>
      <c r="B218" s="81" t="s">
        <v>679</v>
      </c>
      <c r="C218" s="82" t="s">
        <v>639</v>
      </c>
      <c r="D218" s="83" t="s">
        <v>680</v>
      </c>
      <c r="E218" s="84" t="s">
        <v>674</v>
      </c>
      <c r="F218" s="88" t="s">
        <v>674</v>
      </c>
      <c r="G218" s="88"/>
      <c r="H218" s="9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79">
        <v>209.0</v>
      </c>
      <c r="B219" s="81" t="s">
        <v>681</v>
      </c>
      <c r="C219" s="82" t="s">
        <v>639</v>
      </c>
      <c r="D219" s="83" t="s">
        <v>682</v>
      </c>
      <c r="E219" s="84" t="s">
        <v>674</v>
      </c>
      <c r="F219" s="88" t="s">
        <v>674</v>
      </c>
      <c r="G219" s="88"/>
      <c r="H219" s="9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79">
        <v>210.0</v>
      </c>
      <c r="B220" s="81" t="s">
        <v>683</v>
      </c>
      <c r="C220" s="82" t="s">
        <v>639</v>
      </c>
      <c r="D220" s="83" t="s">
        <v>684</v>
      </c>
      <c r="E220" s="84" t="s">
        <v>674</v>
      </c>
      <c r="F220" s="88" t="s">
        <v>674</v>
      </c>
      <c r="G220" s="88"/>
      <c r="H220" s="9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79">
        <v>211.0</v>
      </c>
      <c r="B221" s="81" t="s">
        <v>685</v>
      </c>
      <c r="C221" s="82" t="s">
        <v>639</v>
      </c>
      <c r="D221" s="83" t="s">
        <v>686</v>
      </c>
      <c r="E221" s="84" t="s">
        <v>687</v>
      </c>
      <c r="F221" s="88" t="s">
        <v>687</v>
      </c>
      <c r="G221" s="88"/>
      <c r="H221" s="9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79">
        <v>212.0</v>
      </c>
      <c r="B222" s="81" t="s">
        <v>688</v>
      </c>
      <c r="C222" s="82" t="s">
        <v>689</v>
      </c>
      <c r="D222" s="83" t="s">
        <v>690</v>
      </c>
      <c r="E222" s="84" t="s">
        <v>687</v>
      </c>
      <c r="F222" s="88" t="s">
        <v>687</v>
      </c>
      <c r="G222" s="88"/>
      <c r="H222" s="9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75" customHeight="1">
      <c r="A223" s="79">
        <v>213.0</v>
      </c>
      <c r="B223" s="81" t="s">
        <v>691</v>
      </c>
      <c r="C223" s="82" t="s">
        <v>689</v>
      </c>
      <c r="D223" s="83" t="s">
        <v>692</v>
      </c>
      <c r="E223" s="84" t="s">
        <v>687</v>
      </c>
      <c r="F223" s="88" t="s">
        <v>687</v>
      </c>
      <c r="G223" s="88"/>
      <c r="H223" s="9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75" customHeight="1">
      <c r="A224" s="79">
        <v>214.0</v>
      </c>
      <c r="B224" s="81" t="s">
        <v>693</v>
      </c>
      <c r="C224" s="82" t="s">
        <v>694</v>
      </c>
      <c r="D224" s="83" t="s">
        <v>695</v>
      </c>
      <c r="E224" s="84" t="s">
        <v>696</v>
      </c>
      <c r="F224" s="88" t="s">
        <v>696</v>
      </c>
      <c r="G224" s="88"/>
      <c r="H224" s="9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75" customHeight="1">
      <c r="A225" s="79">
        <v>215.0</v>
      </c>
      <c r="B225" s="81" t="s">
        <v>697</v>
      </c>
      <c r="C225" s="82" t="s">
        <v>694</v>
      </c>
      <c r="D225" s="83" t="s">
        <v>698</v>
      </c>
      <c r="E225" s="84" t="s">
        <v>696</v>
      </c>
      <c r="F225" s="88" t="s">
        <v>696</v>
      </c>
      <c r="G225" s="88"/>
      <c r="H225" s="9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75" customHeight="1">
      <c r="A226" s="79">
        <v>216.0</v>
      </c>
      <c r="B226" s="81" t="s">
        <v>699</v>
      </c>
      <c r="C226" s="82" t="s">
        <v>700</v>
      </c>
      <c r="D226" s="83" t="s">
        <v>701</v>
      </c>
      <c r="E226" s="84" t="s">
        <v>696</v>
      </c>
      <c r="F226" s="88" t="s">
        <v>696</v>
      </c>
      <c r="G226" s="88"/>
      <c r="H226" s="9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75" customHeight="1">
      <c r="A227" s="79">
        <v>217.0</v>
      </c>
      <c r="B227" s="81" t="s">
        <v>702</v>
      </c>
      <c r="C227" s="82" t="s">
        <v>700</v>
      </c>
      <c r="D227" s="83" t="s">
        <v>703</v>
      </c>
      <c r="E227" s="84" t="s">
        <v>696</v>
      </c>
      <c r="F227" s="88" t="s">
        <v>696</v>
      </c>
      <c r="G227" s="88"/>
      <c r="H227" s="9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75" customHeight="1">
      <c r="A228" s="79">
        <v>218.0</v>
      </c>
      <c r="B228" s="81" t="s">
        <v>704</v>
      </c>
      <c r="C228" s="82" t="s">
        <v>705</v>
      </c>
      <c r="D228" s="83" t="s">
        <v>706</v>
      </c>
      <c r="E228" s="84" t="s">
        <v>696</v>
      </c>
      <c r="F228" s="88" t="s">
        <v>696</v>
      </c>
      <c r="G228" s="88"/>
      <c r="H228" s="9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5"/>
      <c r="B229" s="5"/>
      <c r="C229" s="5"/>
      <c r="D229" s="7"/>
      <c r="E229" s="8"/>
      <c r="F229" s="7"/>
      <c r="G229" s="7"/>
      <c r="H229" s="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5"/>
      <c r="B230" s="5"/>
      <c r="C230" s="5"/>
      <c r="D230" s="7"/>
      <c r="E230" s="8"/>
      <c r="F230" s="7"/>
      <c r="G230" s="7"/>
      <c r="H230" s="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5"/>
      <c r="B231" s="5"/>
      <c r="C231" s="5"/>
      <c r="D231" s="7"/>
      <c r="E231" s="8"/>
      <c r="F231" s="7"/>
      <c r="G231" s="7"/>
      <c r="H231" s="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5"/>
      <c r="B232" s="5"/>
      <c r="C232" s="5"/>
      <c r="D232" s="7"/>
      <c r="E232" s="8"/>
      <c r="F232" s="7"/>
      <c r="G232" s="7"/>
      <c r="H232" s="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5"/>
      <c r="B233" s="5"/>
      <c r="C233" s="5"/>
      <c r="D233" s="7"/>
      <c r="E233" s="8"/>
      <c r="F233" s="7"/>
      <c r="G233" s="7"/>
      <c r="H233" s="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5"/>
      <c r="B234" s="5"/>
      <c r="C234" s="5"/>
      <c r="D234" s="7"/>
      <c r="E234" s="8"/>
      <c r="F234" s="7"/>
      <c r="G234" s="7"/>
      <c r="H234" s="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5"/>
      <c r="B235" s="5"/>
      <c r="C235" s="5"/>
      <c r="D235" s="7"/>
      <c r="E235" s="8"/>
      <c r="F235" s="7"/>
      <c r="G235" s="7"/>
      <c r="H235" s="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5"/>
      <c r="B236" s="5"/>
      <c r="C236" s="5"/>
      <c r="D236" s="7"/>
      <c r="E236" s="8"/>
      <c r="F236" s="7"/>
      <c r="G236" s="7"/>
      <c r="H236" s="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5"/>
      <c r="B237" s="5"/>
      <c r="C237" s="5"/>
      <c r="D237" s="7"/>
      <c r="E237" s="8"/>
      <c r="F237" s="7"/>
      <c r="G237" s="7"/>
      <c r="H237" s="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5"/>
      <c r="B238" s="5"/>
      <c r="C238" s="5"/>
      <c r="D238" s="7"/>
      <c r="E238" s="8"/>
      <c r="F238" s="7"/>
      <c r="G238" s="7"/>
      <c r="H238" s="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5"/>
      <c r="B239" s="5"/>
      <c r="C239" s="5"/>
      <c r="D239" s="7"/>
      <c r="E239" s="8"/>
      <c r="F239" s="7"/>
      <c r="G239" s="7"/>
      <c r="H239" s="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5"/>
      <c r="B240" s="5"/>
      <c r="C240" s="5"/>
      <c r="D240" s="7"/>
      <c r="E240" s="8"/>
      <c r="F240" s="7"/>
      <c r="G240" s="7"/>
      <c r="H240" s="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5"/>
      <c r="B241" s="5"/>
      <c r="C241" s="5"/>
      <c r="D241" s="7"/>
      <c r="E241" s="8"/>
      <c r="F241" s="7"/>
      <c r="G241" s="7"/>
      <c r="H241" s="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5"/>
      <c r="B242" s="5"/>
      <c r="C242" s="5"/>
      <c r="D242" s="7"/>
      <c r="E242" s="8"/>
      <c r="F242" s="7"/>
      <c r="G242" s="7"/>
      <c r="H242" s="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5"/>
      <c r="B243" s="5"/>
      <c r="C243" s="5"/>
      <c r="D243" s="7"/>
      <c r="E243" s="8"/>
      <c r="F243" s="7"/>
      <c r="G243" s="7"/>
      <c r="H243" s="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5"/>
      <c r="B244" s="5"/>
      <c r="C244" s="5"/>
      <c r="D244" s="7"/>
      <c r="E244" s="8"/>
      <c r="F244" s="7"/>
      <c r="G244" s="7"/>
      <c r="H244" s="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5"/>
      <c r="B245" s="5"/>
      <c r="C245" s="5"/>
      <c r="D245" s="7"/>
      <c r="E245" s="8"/>
      <c r="F245" s="7"/>
      <c r="G245" s="7"/>
      <c r="H245" s="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5"/>
      <c r="B246" s="5"/>
      <c r="C246" s="5"/>
      <c r="D246" s="7"/>
      <c r="E246" s="8"/>
      <c r="F246" s="7"/>
      <c r="G246" s="7"/>
      <c r="H246" s="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5"/>
      <c r="B247" s="5"/>
      <c r="C247" s="5"/>
      <c r="D247" s="7"/>
      <c r="E247" s="8"/>
      <c r="F247" s="7"/>
      <c r="G247" s="7"/>
      <c r="H247" s="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5"/>
      <c r="B248" s="5"/>
      <c r="C248" s="5"/>
      <c r="D248" s="7"/>
      <c r="E248" s="8"/>
      <c r="F248" s="7"/>
      <c r="G248" s="7"/>
      <c r="H248" s="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5"/>
      <c r="B249" s="5"/>
      <c r="C249" s="5"/>
      <c r="D249" s="7"/>
      <c r="E249" s="8"/>
      <c r="F249" s="7"/>
      <c r="G249" s="7"/>
      <c r="H249" s="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5"/>
      <c r="B250" s="5"/>
      <c r="C250" s="5"/>
      <c r="D250" s="7"/>
      <c r="E250" s="8"/>
      <c r="F250" s="7"/>
      <c r="G250" s="7"/>
      <c r="H250" s="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5"/>
      <c r="B251" s="5"/>
      <c r="C251" s="5"/>
      <c r="D251" s="7"/>
      <c r="E251" s="8"/>
      <c r="F251" s="7"/>
      <c r="G251" s="7"/>
      <c r="H251" s="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5"/>
      <c r="B252" s="5"/>
      <c r="C252" s="5"/>
      <c r="D252" s="7"/>
      <c r="E252" s="8"/>
      <c r="F252" s="7"/>
      <c r="G252" s="7"/>
      <c r="H252" s="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5"/>
      <c r="B253" s="5"/>
      <c r="C253" s="5"/>
      <c r="D253" s="7"/>
      <c r="E253" s="8"/>
      <c r="F253" s="7"/>
      <c r="G253" s="7"/>
      <c r="H253" s="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5"/>
      <c r="B254" s="5"/>
      <c r="C254" s="5"/>
      <c r="D254" s="7"/>
      <c r="E254" s="8"/>
      <c r="F254" s="7"/>
      <c r="G254" s="7"/>
      <c r="H254" s="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5"/>
      <c r="B255" s="5"/>
      <c r="C255" s="5"/>
      <c r="D255" s="7"/>
      <c r="E255" s="8"/>
      <c r="F255" s="7"/>
      <c r="G255" s="7"/>
      <c r="H255" s="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5"/>
      <c r="B256" s="5"/>
      <c r="C256" s="5"/>
      <c r="D256" s="7"/>
      <c r="E256" s="8"/>
      <c r="F256" s="7"/>
      <c r="G256" s="7"/>
      <c r="H256" s="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5"/>
      <c r="B257" s="5"/>
      <c r="C257" s="5"/>
      <c r="D257" s="7"/>
      <c r="E257" s="8"/>
      <c r="F257" s="7"/>
      <c r="G257" s="7"/>
      <c r="H257" s="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5"/>
      <c r="B258" s="5"/>
      <c r="C258" s="5"/>
      <c r="D258" s="7"/>
      <c r="E258" s="8"/>
      <c r="F258" s="7"/>
      <c r="G258" s="7"/>
      <c r="H258" s="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5"/>
      <c r="B259" s="5"/>
      <c r="C259" s="5"/>
      <c r="D259" s="7"/>
      <c r="E259" s="8"/>
      <c r="F259" s="7"/>
      <c r="G259" s="7"/>
      <c r="H259" s="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5"/>
      <c r="B260" s="5"/>
      <c r="C260" s="5"/>
      <c r="D260" s="7"/>
      <c r="E260" s="8"/>
      <c r="F260" s="7"/>
      <c r="G260" s="7"/>
      <c r="H260" s="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5"/>
      <c r="B261" s="5"/>
      <c r="C261" s="5"/>
      <c r="D261" s="7"/>
      <c r="E261" s="8"/>
      <c r="F261" s="7"/>
      <c r="G261" s="7"/>
      <c r="H261" s="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5"/>
      <c r="B262" s="5"/>
      <c r="C262" s="5"/>
      <c r="D262" s="7"/>
      <c r="E262" s="8"/>
      <c r="F262" s="7"/>
      <c r="G262" s="7"/>
      <c r="H262" s="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5"/>
      <c r="B263" s="5"/>
      <c r="C263" s="5"/>
      <c r="D263" s="7"/>
      <c r="E263" s="8"/>
      <c r="F263" s="7"/>
      <c r="G263" s="7"/>
      <c r="H263" s="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5"/>
      <c r="B264" s="5"/>
      <c r="C264" s="5"/>
      <c r="D264" s="7"/>
      <c r="E264" s="8"/>
      <c r="F264" s="7"/>
      <c r="G264" s="7"/>
      <c r="H264" s="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5"/>
      <c r="B265" s="5"/>
      <c r="C265" s="5"/>
      <c r="D265" s="7"/>
      <c r="E265" s="8"/>
      <c r="F265" s="7"/>
      <c r="G265" s="7"/>
      <c r="H265" s="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5"/>
      <c r="B266" s="5"/>
      <c r="C266" s="5"/>
      <c r="D266" s="7"/>
      <c r="E266" s="8"/>
      <c r="F266" s="7"/>
      <c r="G266" s="7"/>
      <c r="H266" s="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5"/>
      <c r="B267" s="5"/>
      <c r="C267" s="5"/>
      <c r="D267" s="7"/>
      <c r="E267" s="8"/>
      <c r="F267" s="7"/>
      <c r="G267" s="7"/>
      <c r="H267" s="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5"/>
      <c r="B268" s="5"/>
      <c r="C268" s="5"/>
      <c r="D268" s="7"/>
      <c r="E268" s="8"/>
      <c r="F268" s="7"/>
      <c r="G268" s="7"/>
      <c r="H268" s="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5"/>
      <c r="B269" s="5"/>
      <c r="C269" s="5"/>
      <c r="D269" s="7"/>
      <c r="E269" s="8"/>
      <c r="F269" s="7"/>
      <c r="G269" s="7"/>
      <c r="H269" s="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5"/>
      <c r="B270" s="5"/>
      <c r="C270" s="5"/>
      <c r="D270" s="7"/>
      <c r="E270" s="8"/>
      <c r="F270" s="7"/>
      <c r="G270" s="7"/>
      <c r="H270" s="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5"/>
      <c r="B271" s="5"/>
      <c r="C271" s="5"/>
      <c r="D271" s="7"/>
      <c r="E271" s="8"/>
      <c r="F271" s="7"/>
      <c r="G271" s="7"/>
      <c r="H271" s="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5"/>
      <c r="B272" s="5"/>
      <c r="C272" s="5"/>
      <c r="D272" s="7"/>
      <c r="E272" s="8"/>
      <c r="F272" s="7"/>
      <c r="G272" s="7"/>
      <c r="H272" s="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5"/>
      <c r="B273" s="5"/>
      <c r="C273" s="5"/>
      <c r="D273" s="7"/>
      <c r="E273" s="8"/>
      <c r="F273" s="7"/>
      <c r="G273" s="7"/>
      <c r="H273" s="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5"/>
      <c r="B274" s="5"/>
      <c r="C274" s="5"/>
      <c r="D274" s="7"/>
      <c r="E274" s="8"/>
      <c r="F274" s="7"/>
      <c r="G274" s="7"/>
      <c r="H274" s="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5"/>
      <c r="B275" s="5"/>
      <c r="C275" s="5"/>
      <c r="D275" s="7"/>
      <c r="E275" s="8"/>
      <c r="F275" s="7"/>
      <c r="G275" s="7"/>
      <c r="H275" s="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5"/>
      <c r="B276" s="5"/>
      <c r="C276" s="5"/>
      <c r="D276" s="7"/>
      <c r="E276" s="8"/>
      <c r="F276" s="7"/>
      <c r="G276" s="7"/>
      <c r="H276" s="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5"/>
      <c r="B277" s="5"/>
      <c r="C277" s="5"/>
      <c r="D277" s="7"/>
      <c r="E277" s="8"/>
      <c r="F277" s="7"/>
      <c r="G277" s="7"/>
      <c r="H277" s="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5"/>
      <c r="B278" s="5"/>
      <c r="C278" s="5"/>
      <c r="D278" s="7"/>
      <c r="E278" s="8"/>
      <c r="F278" s="7"/>
      <c r="G278" s="7"/>
      <c r="H278" s="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5"/>
      <c r="B279" s="5"/>
      <c r="C279" s="5"/>
      <c r="D279" s="7"/>
      <c r="E279" s="8"/>
      <c r="F279" s="7"/>
      <c r="G279" s="7"/>
      <c r="H279" s="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5"/>
      <c r="B280" s="5"/>
      <c r="C280" s="5"/>
      <c r="D280" s="7"/>
      <c r="E280" s="8"/>
      <c r="F280" s="7"/>
      <c r="G280" s="7"/>
      <c r="H280" s="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5"/>
      <c r="B281" s="5"/>
      <c r="C281" s="5"/>
      <c r="D281" s="7"/>
      <c r="E281" s="8"/>
      <c r="F281" s="7"/>
      <c r="G281" s="7"/>
      <c r="H281" s="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5"/>
      <c r="B282" s="5"/>
      <c r="C282" s="5"/>
      <c r="D282" s="7"/>
      <c r="E282" s="8"/>
      <c r="F282" s="7"/>
      <c r="G282" s="7"/>
      <c r="H282" s="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5"/>
      <c r="B283" s="5"/>
      <c r="C283" s="5"/>
      <c r="D283" s="7"/>
      <c r="E283" s="8"/>
      <c r="F283" s="7"/>
      <c r="G283" s="7"/>
      <c r="H283" s="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5"/>
      <c r="B284" s="5"/>
      <c r="C284" s="5"/>
      <c r="D284" s="7"/>
      <c r="E284" s="8"/>
      <c r="F284" s="7"/>
      <c r="G284" s="7"/>
      <c r="H284" s="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5"/>
      <c r="B285" s="5"/>
      <c r="C285" s="5"/>
      <c r="D285" s="7"/>
      <c r="E285" s="8"/>
      <c r="F285" s="7"/>
      <c r="G285" s="7"/>
      <c r="H285" s="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5"/>
      <c r="B286" s="5"/>
      <c r="C286" s="5"/>
      <c r="D286" s="7"/>
      <c r="E286" s="8"/>
      <c r="F286" s="7"/>
      <c r="G286" s="7"/>
      <c r="H286" s="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5"/>
      <c r="B287" s="5"/>
      <c r="C287" s="5"/>
      <c r="D287" s="7"/>
      <c r="E287" s="8"/>
      <c r="F287" s="7"/>
      <c r="G287" s="7"/>
      <c r="H287" s="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5"/>
      <c r="B288" s="5"/>
      <c r="C288" s="5"/>
      <c r="D288" s="7"/>
      <c r="E288" s="8"/>
      <c r="F288" s="7"/>
      <c r="G288" s="7"/>
      <c r="H288" s="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5"/>
      <c r="B289" s="5"/>
      <c r="C289" s="5"/>
      <c r="D289" s="7"/>
      <c r="E289" s="8"/>
      <c r="F289" s="7"/>
      <c r="G289" s="7"/>
      <c r="H289" s="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5"/>
      <c r="B290" s="5"/>
      <c r="C290" s="5"/>
      <c r="D290" s="7"/>
      <c r="E290" s="8"/>
      <c r="F290" s="7"/>
      <c r="G290" s="7"/>
      <c r="H290" s="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5"/>
      <c r="B291" s="5"/>
      <c r="C291" s="5"/>
      <c r="D291" s="7"/>
      <c r="E291" s="8"/>
      <c r="F291" s="7"/>
      <c r="G291" s="7"/>
      <c r="H291" s="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5"/>
      <c r="B292" s="5"/>
      <c r="C292" s="5"/>
      <c r="D292" s="7"/>
      <c r="E292" s="8"/>
      <c r="F292" s="7"/>
      <c r="G292" s="7"/>
      <c r="H292" s="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5"/>
      <c r="B293" s="5"/>
      <c r="C293" s="5"/>
      <c r="D293" s="7"/>
      <c r="E293" s="8"/>
      <c r="F293" s="7"/>
      <c r="G293" s="7"/>
      <c r="H293" s="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5"/>
      <c r="B294" s="5"/>
      <c r="C294" s="5"/>
      <c r="D294" s="7"/>
      <c r="E294" s="8"/>
      <c r="F294" s="7"/>
      <c r="G294" s="7"/>
      <c r="H294" s="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5"/>
      <c r="B295" s="5"/>
      <c r="C295" s="5"/>
      <c r="D295" s="7"/>
      <c r="E295" s="8"/>
      <c r="F295" s="7"/>
      <c r="G295" s="7"/>
      <c r="H295" s="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5"/>
      <c r="B296" s="5"/>
      <c r="C296" s="5"/>
      <c r="D296" s="7"/>
      <c r="E296" s="8"/>
      <c r="F296" s="7"/>
      <c r="G296" s="7"/>
      <c r="H296" s="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5"/>
      <c r="B297" s="5"/>
      <c r="C297" s="5"/>
      <c r="D297" s="7"/>
      <c r="E297" s="8"/>
      <c r="F297" s="7"/>
      <c r="G297" s="7"/>
      <c r="H297" s="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5"/>
      <c r="B298" s="5"/>
      <c r="C298" s="5"/>
      <c r="D298" s="7"/>
      <c r="E298" s="8"/>
      <c r="F298" s="7"/>
      <c r="G298" s="7"/>
      <c r="H298" s="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5"/>
      <c r="B299" s="5"/>
      <c r="C299" s="5"/>
      <c r="D299" s="7"/>
      <c r="E299" s="8"/>
      <c r="F299" s="7"/>
      <c r="G299" s="7"/>
      <c r="H299" s="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5"/>
      <c r="B300" s="5"/>
      <c r="C300" s="5"/>
      <c r="D300" s="7"/>
      <c r="E300" s="8"/>
      <c r="F300" s="7"/>
      <c r="G300" s="7"/>
      <c r="H300" s="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5"/>
      <c r="B301" s="5"/>
      <c r="C301" s="5"/>
      <c r="D301" s="7"/>
      <c r="E301" s="8"/>
      <c r="F301" s="7"/>
      <c r="G301" s="7"/>
      <c r="H301" s="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5"/>
      <c r="B302" s="5"/>
      <c r="C302" s="5"/>
      <c r="D302" s="7"/>
      <c r="E302" s="8"/>
      <c r="F302" s="7"/>
      <c r="G302" s="7"/>
      <c r="H302" s="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5"/>
      <c r="B303" s="5"/>
      <c r="C303" s="5"/>
      <c r="D303" s="7"/>
      <c r="E303" s="8"/>
      <c r="F303" s="7"/>
      <c r="G303" s="7"/>
      <c r="H303" s="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5"/>
      <c r="B304" s="5"/>
      <c r="C304" s="5"/>
      <c r="D304" s="7"/>
      <c r="E304" s="8"/>
      <c r="F304" s="7"/>
      <c r="G304" s="7"/>
      <c r="H304" s="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5"/>
      <c r="B305" s="5"/>
      <c r="C305" s="5"/>
      <c r="D305" s="7"/>
      <c r="E305" s="8"/>
      <c r="F305" s="7"/>
      <c r="G305" s="7"/>
      <c r="H305" s="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5"/>
      <c r="B306" s="5"/>
      <c r="C306" s="5"/>
      <c r="D306" s="7"/>
      <c r="E306" s="8"/>
      <c r="F306" s="7"/>
      <c r="G306" s="7"/>
      <c r="H306" s="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5"/>
      <c r="B307" s="5"/>
      <c r="C307" s="5"/>
      <c r="D307" s="7"/>
      <c r="E307" s="8"/>
      <c r="F307" s="7"/>
      <c r="G307" s="7"/>
      <c r="H307" s="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5"/>
      <c r="B308" s="5"/>
      <c r="C308" s="5"/>
      <c r="D308" s="7"/>
      <c r="E308" s="8"/>
      <c r="F308" s="7"/>
      <c r="G308" s="7"/>
      <c r="H308" s="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5"/>
      <c r="B309" s="5"/>
      <c r="C309" s="5"/>
      <c r="D309" s="7"/>
      <c r="E309" s="8"/>
      <c r="F309" s="7"/>
      <c r="G309" s="7"/>
      <c r="H309" s="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5"/>
      <c r="B310" s="5"/>
      <c r="C310" s="5"/>
      <c r="D310" s="7"/>
      <c r="E310" s="8"/>
      <c r="F310" s="7"/>
      <c r="G310" s="7"/>
      <c r="H310" s="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5"/>
      <c r="B311" s="5"/>
      <c r="C311" s="5"/>
      <c r="D311" s="7"/>
      <c r="E311" s="8"/>
      <c r="F311" s="7"/>
      <c r="G311" s="7"/>
      <c r="H311" s="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5"/>
      <c r="B312" s="5"/>
      <c r="C312" s="5"/>
      <c r="D312" s="7"/>
      <c r="E312" s="8"/>
      <c r="F312" s="7"/>
      <c r="G312" s="7"/>
      <c r="H312" s="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5"/>
      <c r="B313" s="5"/>
      <c r="C313" s="5"/>
      <c r="D313" s="7"/>
      <c r="E313" s="8"/>
      <c r="F313" s="7"/>
      <c r="G313" s="7"/>
      <c r="H313" s="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5"/>
      <c r="B314" s="5"/>
      <c r="C314" s="5"/>
      <c r="D314" s="7"/>
      <c r="E314" s="8"/>
      <c r="F314" s="7"/>
      <c r="G314" s="7"/>
      <c r="H314" s="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5"/>
      <c r="B315" s="5"/>
      <c r="C315" s="5"/>
      <c r="D315" s="7"/>
      <c r="E315" s="8"/>
      <c r="F315" s="7"/>
      <c r="G315" s="7"/>
      <c r="H315" s="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5"/>
      <c r="B316" s="5"/>
      <c r="C316" s="5"/>
      <c r="D316" s="7"/>
      <c r="E316" s="8"/>
      <c r="F316" s="7"/>
      <c r="G316" s="7"/>
      <c r="H316" s="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5"/>
      <c r="B317" s="5"/>
      <c r="C317" s="5"/>
      <c r="D317" s="7"/>
      <c r="E317" s="8"/>
      <c r="F317" s="7"/>
      <c r="G317" s="7"/>
      <c r="H317" s="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5"/>
      <c r="B318" s="5"/>
      <c r="C318" s="5"/>
      <c r="D318" s="7"/>
      <c r="E318" s="8"/>
      <c r="F318" s="7"/>
      <c r="G318" s="7"/>
      <c r="H318" s="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5"/>
      <c r="B319" s="5"/>
      <c r="C319" s="5"/>
      <c r="D319" s="7"/>
      <c r="E319" s="8"/>
      <c r="F319" s="7"/>
      <c r="G319" s="7"/>
      <c r="H319" s="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5"/>
      <c r="B320" s="5"/>
      <c r="C320" s="5"/>
      <c r="D320" s="7"/>
      <c r="E320" s="8"/>
      <c r="F320" s="7"/>
      <c r="G320" s="7"/>
      <c r="H320" s="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5"/>
      <c r="B321" s="5"/>
      <c r="C321" s="5"/>
      <c r="D321" s="7"/>
      <c r="E321" s="8"/>
      <c r="F321" s="7"/>
      <c r="G321" s="7"/>
      <c r="H321" s="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5"/>
      <c r="B322" s="5"/>
      <c r="C322" s="5"/>
      <c r="D322" s="7"/>
      <c r="E322" s="8"/>
      <c r="F322" s="7"/>
      <c r="G322" s="7"/>
      <c r="H322" s="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5"/>
      <c r="B323" s="5"/>
      <c r="C323" s="5"/>
      <c r="D323" s="7"/>
      <c r="E323" s="8"/>
      <c r="F323" s="7"/>
      <c r="G323" s="7"/>
      <c r="H323" s="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5"/>
      <c r="B324" s="5"/>
      <c r="C324" s="5"/>
      <c r="D324" s="7"/>
      <c r="E324" s="8"/>
      <c r="F324" s="7"/>
      <c r="G324" s="7"/>
      <c r="H324" s="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5"/>
      <c r="B325" s="5"/>
      <c r="C325" s="5"/>
      <c r="D325" s="7"/>
      <c r="E325" s="8"/>
      <c r="F325" s="7"/>
      <c r="G325" s="7"/>
      <c r="H325" s="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5"/>
      <c r="B326" s="5"/>
      <c r="C326" s="5"/>
      <c r="D326" s="7"/>
      <c r="E326" s="8"/>
      <c r="F326" s="7"/>
      <c r="G326" s="7"/>
      <c r="H326" s="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5"/>
      <c r="B327" s="5"/>
      <c r="C327" s="5"/>
      <c r="D327" s="7"/>
      <c r="E327" s="8"/>
      <c r="F327" s="7"/>
      <c r="G327" s="7"/>
      <c r="H327" s="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5"/>
      <c r="B328" s="5"/>
      <c r="C328" s="5"/>
      <c r="D328" s="7"/>
      <c r="E328" s="8"/>
      <c r="F328" s="7"/>
      <c r="G328" s="7"/>
      <c r="H328" s="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5"/>
      <c r="B329" s="5"/>
      <c r="C329" s="5"/>
      <c r="D329" s="7"/>
      <c r="E329" s="8"/>
      <c r="F329" s="7"/>
      <c r="G329" s="7"/>
      <c r="H329" s="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5"/>
      <c r="B330" s="5"/>
      <c r="C330" s="5"/>
      <c r="D330" s="7"/>
      <c r="E330" s="8"/>
      <c r="F330" s="7"/>
      <c r="G330" s="7"/>
      <c r="H330" s="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5"/>
      <c r="B331" s="5"/>
      <c r="C331" s="5"/>
      <c r="D331" s="7"/>
      <c r="E331" s="8"/>
      <c r="F331" s="7"/>
      <c r="G331" s="7"/>
      <c r="H331" s="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5"/>
      <c r="B332" s="5"/>
      <c r="C332" s="5"/>
      <c r="D332" s="7"/>
      <c r="E332" s="8"/>
      <c r="F332" s="7"/>
      <c r="G332" s="7"/>
      <c r="H332" s="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5"/>
      <c r="B333" s="5"/>
      <c r="C333" s="5"/>
      <c r="D333" s="7"/>
      <c r="E333" s="8"/>
      <c r="F333" s="7"/>
      <c r="G333" s="7"/>
      <c r="H333" s="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5"/>
      <c r="B334" s="5"/>
      <c r="C334" s="5"/>
      <c r="D334" s="7"/>
      <c r="E334" s="8"/>
      <c r="F334" s="7"/>
      <c r="G334" s="7"/>
      <c r="H334" s="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5"/>
      <c r="B335" s="5"/>
      <c r="C335" s="5"/>
      <c r="D335" s="7"/>
      <c r="E335" s="8"/>
      <c r="F335" s="7"/>
      <c r="G335" s="7"/>
      <c r="H335" s="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5"/>
      <c r="B336" s="5"/>
      <c r="C336" s="5"/>
      <c r="D336" s="7"/>
      <c r="E336" s="8"/>
      <c r="F336" s="7"/>
      <c r="G336" s="7"/>
      <c r="H336" s="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5"/>
      <c r="B337" s="5"/>
      <c r="C337" s="5"/>
      <c r="D337" s="7"/>
      <c r="E337" s="8"/>
      <c r="F337" s="7"/>
      <c r="G337" s="7"/>
      <c r="H337" s="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5"/>
      <c r="B338" s="5"/>
      <c r="C338" s="5"/>
      <c r="D338" s="7"/>
      <c r="E338" s="8"/>
      <c r="F338" s="7"/>
      <c r="G338" s="7"/>
      <c r="H338" s="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5"/>
      <c r="B339" s="5"/>
      <c r="C339" s="5"/>
      <c r="D339" s="7"/>
      <c r="E339" s="8"/>
      <c r="F339" s="7"/>
      <c r="G339" s="7"/>
      <c r="H339" s="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5"/>
      <c r="B340" s="5"/>
      <c r="C340" s="5"/>
      <c r="D340" s="7"/>
      <c r="E340" s="8"/>
      <c r="F340" s="7"/>
      <c r="G340" s="7"/>
      <c r="H340" s="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5"/>
      <c r="B341" s="5"/>
      <c r="C341" s="5"/>
      <c r="D341" s="7"/>
      <c r="E341" s="8"/>
      <c r="F341" s="7"/>
      <c r="G341" s="7"/>
      <c r="H341" s="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5"/>
      <c r="B342" s="5"/>
      <c r="C342" s="5"/>
      <c r="D342" s="7"/>
      <c r="E342" s="8"/>
      <c r="F342" s="7"/>
      <c r="G342" s="7"/>
      <c r="H342" s="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5"/>
      <c r="B343" s="5"/>
      <c r="C343" s="5"/>
      <c r="D343" s="7"/>
      <c r="E343" s="8"/>
      <c r="F343" s="7"/>
      <c r="G343" s="7"/>
      <c r="H343" s="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5"/>
      <c r="B344" s="5"/>
      <c r="C344" s="5"/>
      <c r="D344" s="7"/>
      <c r="E344" s="8"/>
      <c r="F344" s="7"/>
      <c r="G344" s="7"/>
      <c r="H344" s="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5"/>
      <c r="B345" s="5"/>
      <c r="C345" s="5"/>
      <c r="D345" s="7"/>
      <c r="E345" s="8"/>
      <c r="F345" s="7"/>
      <c r="G345" s="7"/>
      <c r="H345" s="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5"/>
      <c r="B346" s="5"/>
      <c r="C346" s="5"/>
      <c r="D346" s="7"/>
      <c r="E346" s="8"/>
      <c r="F346" s="7"/>
      <c r="G346" s="7"/>
      <c r="H346" s="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5"/>
      <c r="B347" s="5"/>
      <c r="C347" s="5"/>
      <c r="D347" s="7"/>
      <c r="E347" s="8"/>
      <c r="F347" s="7"/>
      <c r="G347" s="7"/>
      <c r="H347" s="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5"/>
      <c r="B348" s="5"/>
      <c r="C348" s="5"/>
      <c r="D348" s="7"/>
      <c r="E348" s="8"/>
      <c r="F348" s="7"/>
      <c r="G348" s="7"/>
      <c r="H348" s="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5"/>
      <c r="B349" s="5"/>
      <c r="C349" s="5"/>
      <c r="D349" s="7"/>
      <c r="E349" s="8"/>
      <c r="F349" s="7"/>
      <c r="G349" s="7"/>
      <c r="H349" s="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5"/>
      <c r="B350" s="5"/>
      <c r="C350" s="5"/>
      <c r="D350" s="7"/>
      <c r="E350" s="8"/>
      <c r="F350" s="7"/>
      <c r="G350" s="7"/>
      <c r="H350" s="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5"/>
      <c r="B351" s="5"/>
      <c r="C351" s="5"/>
      <c r="D351" s="7"/>
      <c r="E351" s="8"/>
      <c r="F351" s="7"/>
      <c r="G351" s="7"/>
      <c r="H351" s="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5"/>
      <c r="B352" s="5"/>
      <c r="C352" s="5"/>
      <c r="D352" s="7"/>
      <c r="E352" s="8"/>
      <c r="F352" s="7"/>
      <c r="G352" s="7"/>
      <c r="H352" s="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5"/>
      <c r="B353" s="5"/>
      <c r="C353" s="5"/>
      <c r="D353" s="7"/>
      <c r="E353" s="8"/>
      <c r="F353" s="7"/>
      <c r="G353" s="7"/>
      <c r="H353" s="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5"/>
      <c r="B354" s="5"/>
      <c r="C354" s="5"/>
      <c r="D354" s="7"/>
      <c r="E354" s="8"/>
      <c r="F354" s="7"/>
      <c r="G354" s="7"/>
      <c r="H354" s="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5"/>
      <c r="B355" s="5"/>
      <c r="C355" s="5"/>
      <c r="D355" s="7"/>
      <c r="E355" s="8"/>
      <c r="F355" s="7"/>
      <c r="G355" s="7"/>
      <c r="H355" s="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5"/>
      <c r="B356" s="5"/>
      <c r="C356" s="5"/>
      <c r="D356" s="7"/>
      <c r="E356" s="8"/>
      <c r="F356" s="7"/>
      <c r="G356" s="7"/>
      <c r="H356" s="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5"/>
      <c r="B357" s="5"/>
      <c r="C357" s="5"/>
      <c r="D357" s="7"/>
      <c r="E357" s="8"/>
      <c r="F357" s="7"/>
      <c r="G357" s="7"/>
      <c r="H357" s="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5"/>
      <c r="B358" s="5"/>
      <c r="C358" s="5"/>
      <c r="D358" s="7"/>
      <c r="E358" s="8"/>
      <c r="F358" s="7"/>
      <c r="G358" s="7"/>
      <c r="H358" s="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5"/>
      <c r="B359" s="5"/>
      <c r="C359" s="5"/>
      <c r="D359" s="7"/>
      <c r="E359" s="8"/>
      <c r="F359" s="7"/>
      <c r="G359" s="7"/>
      <c r="H359" s="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5"/>
      <c r="B360" s="5"/>
      <c r="C360" s="5"/>
      <c r="D360" s="7"/>
      <c r="E360" s="8"/>
      <c r="F360" s="7"/>
      <c r="G360" s="7"/>
      <c r="H360" s="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5"/>
      <c r="B361" s="5"/>
      <c r="C361" s="5"/>
      <c r="D361" s="7"/>
      <c r="E361" s="8"/>
      <c r="F361" s="7"/>
      <c r="G361" s="7"/>
      <c r="H361" s="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5"/>
      <c r="B362" s="5"/>
      <c r="C362" s="5"/>
      <c r="D362" s="7"/>
      <c r="E362" s="8"/>
      <c r="F362" s="7"/>
      <c r="G362" s="7"/>
      <c r="H362" s="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5"/>
      <c r="B363" s="5"/>
      <c r="C363" s="5"/>
      <c r="D363" s="7"/>
      <c r="E363" s="8"/>
      <c r="F363" s="7"/>
      <c r="G363" s="7"/>
      <c r="H363" s="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5"/>
      <c r="B364" s="5"/>
      <c r="C364" s="5"/>
      <c r="D364" s="7"/>
      <c r="E364" s="8"/>
      <c r="F364" s="7"/>
      <c r="G364" s="7"/>
      <c r="H364" s="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5"/>
      <c r="B365" s="5"/>
      <c r="C365" s="5"/>
      <c r="D365" s="7"/>
      <c r="E365" s="8"/>
      <c r="F365" s="7"/>
      <c r="G365" s="7"/>
      <c r="H365" s="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5"/>
      <c r="B366" s="5"/>
      <c r="C366" s="5"/>
      <c r="D366" s="7"/>
      <c r="E366" s="8"/>
      <c r="F366" s="7"/>
      <c r="G366" s="7"/>
      <c r="H366" s="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5"/>
      <c r="B367" s="5"/>
      <c r="C367" s="5"/>
      <c r="D367" s="7"/>
      <c r="E367" s="8"/>
      <c r="F367" s="7"/>
      <c r="G367" s="7"/>
      <c r="H367" s="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5"/>
      <c r="B368" s="5"/>
      <c r="C368" s="5"/>
      <c r="D368" s="7"/>
      <c r="E368" s="8"/>
      <c r="F368" s="7"/>
      <c r="G368" s="7"/>
      <c r="H368" s="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5"/>
      <c r="B369" s="5"/>
      <c r="C369" s="5"/>
      <c r="D369" s="7"/>
      <c r="E369" s="8"/>
      <c r="F369" s="7"/>
      <c r="G369" s="7"/>
      <c r="H369" s="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5"/>
      <c r="B370" s="5"/>
      <c r="C370" s="5"/>
      <c r="D370" s="7"/>
      <c r="E370" s="8"/>
      <c r="F370" s="7"/>
      <c r="G370" s="7"/>
      <c r="H370" s="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5"/>
      <c r="B371" s="5"/>
      <c r="C371" s="5"/>
      <c r="D371" s="7"/>
      <c r="E371" s="8"/>
      <c r="F371" s="7"/>
      <c r="G371" s="7"/>
      <c r="H371" s="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5"/>
      <c r="B372" s="5"/>
      <c r="C372" s="5"/>
      <c r="D372" s="7"/>
      <c r="E372" s="8"/>
      <c r="F372" s="7"/>
      <c r="G372" s="7"/>
      <c r="H372" s="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5"/>
      <c r="B373" s="5"/>
      <c r="C373" s="5"/>
      <c r="D373" s="7"/>
      <c r="E373" s="8"/>
      <c r="F373" s="7"/>
      <c r="G373" s="7"/>
      <c r="H373" s="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5"/>
      <c r="B374" s="5"/>
      <c r="C374" s="5"/>
      <c r="D374" s="7"/>
      <c r="E374" s="8"/>
      <c r="F374" s="7"/>
      <c r="G374" s="7"/>
      <c r="H374" s="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5"/>
      <c r="B375" s="5"/>
      <c r="C375" s="5"/>
      <c r="D375" s="7"/>
      <c r="E375" s="8"/>
      <c r="F375" s="7"/>
      <c r="G375" s="7"/>
      <c r="H375" s="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5"/>
      <c r="B376" s="5"/>
      <c r="C376" s="5"/>
      <c r="D376" s="7"/>
      <c r="E376" s="8"/>
      <c r="F376" s="7"/>
      <c r="G376" s="7"/>
      <c r="H376" s="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5"/>
      <c r="B377" s="5"/>
      <c r="C377" s="5"/>
      <c r="D377" s="7"/>
      <c r="E377" s="8"/>
      <c r="F377" s="7"/>
      <c r="G377" s="7"/>
      <c r="H377" s="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5"/>
      <c r="B378" s="5"/>
      <c r="C378" s="5"/>
      <c r="D378" s="7"/>
      <c r="E378" s="8"/>
      <c r="F378" s="7"/>
      <c r="G378" s="7"/>
      <c r="H378" s="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5"/>
      <c r="B379" s="5"/>
      <c r="C379" s="5"/>
      <c r="D379" s="7"/>
      <c r="E379" s="8"/>
      <c r="F379" s="7"/>
      <c r="G379" s="7"/>
      <c r="H379" s="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5"/>
      <c r="B380" s="5"/>
      <c r="C380" s="5"/>
      <c r="D380" s="7"/>
      <c r="E380" s="8"/>
      <c r="F380" s="7"/>
      <c r="G380" s="7"/>
      <c r="H380" s="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5"/>
      <c r="B381" s="5"/>
      <c r="C381" s="5"/>
      <c r="D381" s="7"/>
      <c r="E381" s="8"/>
      <c r="F381" s="7"/>
      <c r="G381" s="7"/>
      <c r="H381" s="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5"/>
      <c r="B382" s="5"/>
      <c r="C382" s="5"/>
      <c r="D382" s="7"/>
      <c r="E382" s="8"/>
      <c r="F382" s="7"/>
      <c r="G382" s="7"/>
      <c r="H382" s="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5"/>
      <c r="B383" s="5"/>
      <c r="C383" s="5"/>
      <c r="D383" s="7"/>
      <c r="E383" s="8"/>
      <c r="F383" s="7"/>
      <c r="G383" s="7"/>
      <c r="H383" s="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5"/>
      <c r="B384" s="5"/>
      <c r="C384" s="5"/>
      <c r="D384" s="7"/>
      <c r="E384" s="8"/>
      <c r="F384" s="7"/>
      <c r="G384" s="7"/>
      <c r="H384" s="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5"/>
      <c r="B385" s="5"/>
      <c r="C385" s="5"/>
      <c r="D385" s="7"/>
      <c r="E385" s="8"/>
      <c r="F385" s="7"/>
      <c r="G385" s="7"/>
      <c r="H385" s="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5"/>
      <c r="B386" s="5"/>
      <c r="C386" s="5"/>
      <c r="D386" s="7"/>
      <c r="E386" s="8"/>
      <c r="F386" s="7"/>
      <c r="G386" s="7"/>
      <c r="H386" s="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5"/>
      <c r="B387" s="5"/>
      <c r="C387" s="5"/>
      <c r="D387" s="7"/>
      <c r="E387" s="8"/>
      <c r="F387" s="7"/>
      <c r="G387" s="7"/>
      <c r="H387" s="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5"/>
      <c r="B388" s="5"/>
      <c r="C388" s="5"/>
      <c r="D388" s="7"/>
      <c r="E388" s="8"/>
      <c r="F388" s="7"/>
      <c r="G388" s="7"/>
      <c r="H388" s="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5"/>
      <c r="B389" s="5"/>
      <c r="C389" s="5"/>
      <c r="D389" s="7"/>
      <c r="E389" s="8"/>
      <c r="F389" s="7"/>
      <c r="G389" s="7"/>
      <c r="H389" s="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5"/>
      <c r="B390" s="5"/>
      <c r="C390" s="5"/>
      <c r="D390" s="7"/>
      <c r="E390" s="8"/>
      <c r="F390" s="7"/>
      <c r="G390" s="7"/>
      <c r="H390" s="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5"/>
      <c r="B391" s="5"/>
      <c r="C391" s="5"/>
      <c r="D391" s="7"/>
      <c r="E391" s="8"/>
      <c r="F391" s="7"/>
      <c r="G391" s="7"/>
      <c r="H391" s="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5"/>
      <c r="B392" s="5"/>
      <c r="C392" s="5"/>
      <c r="D392" s="7"/>
      <c r="E392" s="8"/>
      <c r="F392" s="7"/>
      <c r="G392" s="7"/>
      <c r="H392" s="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5"/>
      <c r="B393" s="5"/>
      <c r="C393" s="5"/>
      <c r="D393" s="7"/>
      <c r="E393" s="8"/>
      <c r="F393" s="7"/>
      <c r="G393" s="7"/>
      <c r="H393" s="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5"/>
      <c r="B394" s="5"/>
      <c r="C394" s="5"/>
      <c r="D394" s="7"/>
      <c r="E394" s="8"/>
      <c r="F394" s="7"/>
      <c r="G394" s="7"/>
      <c r="H394" s="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5"/>
      <c r="B395" s="5"/>
      <c r="C395" s="5"/>
      <c r="D395" s="7"/>
      <c r="E395" s="8"/>
      <c r="F395" s="7"/>
      <c r="G395" s="7"/>
      <c r="H395" s="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5"/>
      <c r="B396" s="5"/>
      <c r="C396" s="5"/>
      <c r="D396" s="7"/>
      <c r="E396" s="8"/>
      <c r="F396" s="7"/>
      <c r="G396" s="7"/>
      <c r="H396" s="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5"/>
      <c r="B397" s="5"/>
      <c r="C397" s="5"/>
      <c r="D397" s="7"/>
      <c r="E397" s="8"/>
      <c r="F397" s="7"/>
      <c r="G397" s="7"/>
      <c r="H397" s="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5"/>
      <c r="B398" s="5"/>
      <c r="C398" s="5"/>
      <c r="D398" s="7"/>
      <c r="E398" s="8"/>
      <c r="F398" s="7"/>
      <c r="G398" s="7"/>
      <c r="H398" s="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5"/>
      <c r="B399" s="5"/>
      <c r="C399" s="5"/>
      <c r="D399" s="7"/>
      <c r="E399" s="8"/>
      <c r="F399" s="7"/>
      <c r="G399" s="7"/>
      <c r="H399" s="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5"/>
      <c r="B400" s="5"/>
      <c r="C400" s="5"/>
      <c r="D400" s="7"/>
      <c r="E400" s="8"/>
      <c r="F400" s="7"/>
      <c r="G400" s="7"/>
      <c r="H400" s="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5"/>
      <c r="B401" s="5"/>
      <c r="C401" s="5"/>
      <c r="D401" s="7"/>
      <c r="E401" s="8"/>
      <c r="F401" s="7"/>
      <c r="G401" s="7"/>
      <c r="H401" s="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5"/>
      <c r="B402" s="5"/>
      <c r="C402" s="5"/>
      <c r="D402" s="7"/>
      <c r="E402" s="8"/>
      <c r="F402" s="7"/>
      <c r="G402" s="7"/>
      <c r="H402" s="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5"/>
      <c r="B403" s="5"/>
      <c r="C403" s="5"/>
      <c r="D403" s="7"/>
      <c r="E403" s="8"/>
      <c r="F403" s="7"/>
      <c r="G403" s="7"/>
      <c r="H403" s="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5"/>
      <c r="B404" s="5"/>
      <c r="C404" s="5"/>
      <c r="D404" s="7"/>
      <c r="E404" s="8"/>
      <c r="F404" s="7"/>
      <c r="G404" s="7"/>
      <c r="H404" s="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5"/>
      <c r="B405" s="5"/>
      <c r="C405" s="5"/>
      <c r="D405" s="7"/>
      <c r="E405" s="8"/>
      <c r="F405" s="7"/>
      <c r="G405" s="7"/>
      <c r="H405" s="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5"/>
      <c r="B406" s="5"/>
      <c r="C406" s="5"/>
      <c r="D406" s="7"/>
      <c r="E406" s="8"/>
      <c r="F406" s="7"/>
      <c r="G406" s="7"/>
      <c r="H406" s="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5"/>
      <c r="B407" s="5"/>
      <c r="C407" s="5"/>
      <c r="D407" s="7"/>
      <c r="E407" s="8"/>
      <c r="F407" s="7"/>
      <c r="G407" s="7"/>
      <c r="H407" s="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5"/>
      <c r="B408" s="5"/>
      <c r="C408" s="5"/>
      <c r="D408" s="7"/>
      <c r="E408" s="8"/>
      <c r="F408" s="7"/>
      <c r="G408" s="7"/>
      <c r="H408" s="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5"/>
      <c r="B409" s="5"/>
      <c r="C409" s="5"/>
      <c r="D409" s="7"/>
      <c r="E409" s="8"/>
      <c r="F409" s="7"/>
      <c r="G409" s="7"/>
      <c r="H409" s="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5"/>
      <c r="B410" s="5"/>
      <c r="C410" s="5"/>
      <c r="D410" s="7"/>
      <c r="E410" s="8"/>
      <c r="F410" s="7"/>
      <c r="G410" s="7"/>
      <c r="H410" s="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5"/>
      <c r="B411" s="5"/>
      <c r="C411" s="5"/>
      <c r="D411" s="7"/>
      <c r="E411" s="8"/>
      <c r="F411" s="7"/>
      <c r="G411" s="7"/>
      <c r="H411" s="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5"/>
      <c r="B412" s="5"/>
      <c r="C412" s="5"/>
      <c r="D412" s="7"/>
      <c r="E412" s="8"/>
      <c r="F412" s="7"/>
      <c r="G412" s="7"/>
      <c r="H412" s="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5"/>
      <c r="B413" s="5"/>
      <c r="C413" s="5"/>
      <c r="D413" s="7"/>
      <c r="E413" s="8"/>
      <c r="F413" s="7"/>
      <c r="G413" s="7"/>
      <c r="H413" s="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5"/>
      <c r="B414" s="5"/>
      <c r="C414" s="5"/>
      <c r="D414" s="7"/>
      <c r="E414" s="8"/>
      <c r="F414" s="7"/>
      <c r="G414" s="7"/>
      <c r="H414" s="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5"/>
      <c r="B415" s="5"/>
      <c r="C415" s="5"/>
      <c r="D415" s="7"/>
      <c r="E415" s="8"/>
      <c r="F415" s="7"/>
      <c r="G415" s="7"/>
      <c r="H415" s="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5"/>
      <c r="B416" s="5"/>
      <c r="C416" s="5"/>
      <c r="D416" s="7"/>
      <c r="E416" s="8"/>
      <c r="F416" s="7"/>
      <c r="G416" s="7"/>
      <c r="H416" s="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5"/>
      <c r="B417" s="5"/>
      <c r="C417" s="5"/>
      <c r="D417" s="7"/>
      <c r="E417" s="8"/>
      <c r="F417" s="7"/>
      <c r="G417" s="7"/>
      <c r="H417" s="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5"/>
      <c r="B418" s="5"/>
      <c r="C418" s="5"/>
      <c r="D418" s="7"/>
      <c r="E418" s="8"/>
      <c r="F418" s="7"/>
      <c r="G418" s="7"/>
      <c r="H418" s="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5"/>
      <c r="B419" s="5"/>
      <c r="C419" s="5"/>
      <c r="D419" s="7"/>
      <c r="E419" s="8"/>
      <c r="F419" s="7"/>
      <c r="G419" s="7"/>
      <c r="H419" s="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5"/>
      <c r="B420" s="5"/>
      <c r="C420" s="5"/>
      <c r="D420" s="7"/>
      <c r="E420" s="8"/>
      <c r="F420" s="7"/>
      <c r="G420" s="7"/>
      <c r="H420" s="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5"/>
      <c r="B421" s="5"/>
      <c r="C421" s="5"/>
      <c r="D421" s="7"/>
      <c r="E421" s="8"/>
      <c r="F421" s="7"/>
      <c r="G421" s="7"/>
      <c r="H421" s="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5"/>
      <c r="B422" s="5"/>
      <c r="C422" s="5"/>
      <c r="D422" s="7"/>
      <c r="E422" s="8"/>
      <c r="F422" s="7"/>
      <c r="G422" s="7"/>
      <c r="H422" s="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5"/>
      <c r="B423" s="5"/>
      <c r="C423" s="5"/>
      <c r="D423" s="7"/>
      <c r="E423" s="8"/>
      <c r="F423" s="7"/>
      <c r="G423" s="7"/>
      <c r="H423" s="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5"/>
      <c r="B424" s="5"/>
      <c r="C424" s="5"/>
      <c r="D424" s="7"/>
      <c r="E424" s="8"/>
      <c r="F424" s="7"/>
      <c r="G424" s="7"/>
      <c r="H424" s="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5"/>
      <c r="B425" s="5"/>
      <c r="C425" s="5"/>
      <c r="D425" s="7"/>
      <c r="E425" s="8"/>
      <c r="F425" s="7"/>
      <c r="G425" s="7"/>
      <c r="H425" s="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5"/>
      <c r="B426" s="5"/>
      <c r="C426" s="5"/>
      <c r="D426" s="7"/>
      <c r="E426" s="8"/>
      <c r="F426" s="7"/>
      <c r="G426" s="7"/>
      <c r="H426" s="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5"/>
      <c r="B427" s="5"/>
      <c r="C427" s="5"/>
      <c r="D427" s="7"/>
      <c r="E427" s="8"/>
      <c r="F427" s="7"/>
      <c r="G427" s="7"/>
      <c r="H427" s="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5"/>
      <c r="B428" s="5"/>
      <c r="C428" s="5"/>
      <c r="D428" s="7"/>
      <c r="E428" s="8"/>
      <c r="F428" s="7"/>
      <c r="G428" s="7"/>
      <c r="H428" s="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5"/>
      <c r="B429" s="5"/>
      <c r="C429" s="5"/>
      <c r="D429" s="7"/>
      <c r="E429" s="8"/>
      <c r="F429" s="7"/>
      <c r="G429" s="7"/>
      <c r="H429" s="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5"/>
      <c r="B430" s="5"/>
      <c r="C430" s="5"/>
      <c r="D430" s="7"/>
      <c r="E430" s="8"/>
      <c r="F430" s="7"/>
      <c r="G430" s="7"/>
      <c r="H430" s="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5"/>
      <c r="B431" s="5"/>
      <c r="C431" s="5"/>
      <c r="D431" s="7"/>
      <c r="E431" s="8"/>
      <c r="F431" s="7"/>
      <c r="G431" s="7"/>
      <c r="H431" s="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5"/>
      <c r="B432" s="5"/>
      <c r="C432" s="5"/>
      <c r="D432" s="7"/>
      <c r="E432" s="8"/>
      <c r="F432" s="7"/>
      <c r="G432" s="7"/>
      <c r="H432" s="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5"/>
      <c r="B433" s="5"/>
      <c r="C433" s="5"/>
      <c r="D433" s="7"/>
      <c r="E433" s="8"/>
      <c r="F433" s="7"/>
      <c r="G433" s="7"/>
      <c r="H433" s="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5"/>
      <c r="B434" s="5"/>
      <c r="C434" s="5"/>
      <c r="D434" s="7"/>
      <c r="E434" s="8"/>
      <c r="F434" s="7"/>
      <c r="G434" s="7"/>
      <c r="H434" s="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5"/>
      <c r="B435" s="5"/>
      <c r="C435" s="5"/>
      <c r="D435" s="7"/>
      <c r="E435" s="8"/>
      <c r="F435" s="7"/>
      <c r="G435" s="7"/>
      <c r="H435" s="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5"/>
      <c r="B436" s="5"/>
      <c r="C436" s="5"/>
      <c r="D436" s="7"/>
      <c r="E436" s="8"/>
      <c r="F436" s="7"/>
      <c r="G436" s="7"/>
      <c r="H436" s="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5"/>
      <c r="B437" s="5"/>
      <c r="C437" s="5"/>
      <c r="D437" s="7"/>
      <c r="E437" s="8"/>
      <c r="F437" s="7"/>
      <c r="G437" s="7"/>
      <c r="H437" s="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5"/>
      <c r="B438" s="5"/>
      <c r="C438" s="5"/>
      <c r="D438" s="7"/>
      <c r="E438" s="8"/>
      <c r="F438" s="7"/>
      <c r="G438" s="7"/>
      <c r="H438" s="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5"/>
      <c r="B439" s="5"/>
      <c r="C439" s="5"/>
      <c r="D439" s="7"/>
      <c r="E439" s="8"/>
      <c r="F439" s="7"/>
      <c r="G439" s="7"/>
      <c r="H439" s="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5"/>
      <c r="B440" s="5"/>
      <c r="C440" s="5"/>
      <c r="D440" s="7"/>
      <c r="E440" s="8"/>
      <c r="F440" s="7"/>
      <c r="G440" s="7"/>
      <c r="H440" s="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5"/>
      <c r="B441" s="5"/>
      <c r="C441" s="5"/>
      <c r="D441" s="7"/>
      <c r="E441" s="8"/>
      <c r="F441" s="7"/>
      <c r="G441" s="7"/>
      <c r="H441" s="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5"/>
      <c r="B442" s="5"/>
      <c r="C442" s="5"/>
      <c r="D442" s="7"/>
      <c r="E442" s="8"/>
      <c r="F442" s="7"/>
      <c r="G442" s="7"/>
      <c r="H442" s="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5"/>
      <c r="B443" s="5"/>
      <c r="C443" s="5"/>
      <c r="D443" s="7"/>
      <c r="E443" s="8"/>
      <c r="F443" s="7"/>
      <c r="G443" s="7"/>
      <c r="H443" s="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5"/>
      <c r="B444" s="5"/>
      <c r="C444" s="5"/>
      <c r="D444" s="7"/>
      <c r="E444" s="8"/>
      <c r="F444" s="7"/>
      <c r="G444" s="7"/>
      <c r="H444" s="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5"/>
      <c r="B445" s="5"/>
      <c r="C445" s="5"/>
      <c r="D445" s="7"/>
      <c r="E445" s="8"/>
      <c r="F445" s="7"/>
      <c r="G445" s="7"/>
      <c r="H445" s="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5"/>
      <c r="B446" s="5"/>
      <c r="C446" s="5"/>
      <c r="D446" s="7"/>
      <c r="E446" s="8"/>
      <c r="F446" s="7"/>
      <c r="G446" s="7"/>
      <c r="H446" s="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5"/>
      <c r="B447" s="5"/>
      <c r="C447" s="5"/>
      <c r="D447" s="7"/>
      <c r="E447" s="8"/>
      <c r="F447" s="7"/>
      <c r="G447" s="7"/>
      <c r="H447" s="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5"/>
      <c r="B448" s="5"/>
      <c r="C448" s="5"/>
      <c r="D448" s="7"/>
      <c r="E448" s="8"/>
      <c r="F448" s="7"/>
      <c r="G448" s="7"/>
      <c r="H448" s="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5"/>
      <c r="B449" s="5"/>
      <c r="C449" s="5"/>
      <c r="D449" s="7"/>
      <c r="E449" s="8"/>
      <c r="F449" s="7"/>
      <c r="G449" s="7"/>
      <c r="H449" s="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5"/>
      <c r="B450" s="5"/>
      <c r="C450" s="5"/>
      <c r="D450" s="7"/>
      <c r="E450" s="8"/>
      <c r="F450" s="7"/>
      <c r="G450" s="7"/>
      <c r="H450" s="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5"/>
      <c r="B451" s="5"/>
      <c r="C451" s="5"/>
      <c r="D451" s="7"/>
      <c r="E451" s="8"/>
      <c r="F451" s="7"/>
      <c r="G451" s="7"/>
      <c r="H451" s="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5"/>
      <c r="B452" s="5"/>
      <c r="C452" s="5"/>
      <c r="D452" s="7"/>
      <c r="E452" s="8"/>
      <c r="F452" s="7"/>
      <c r="G452" s="7"/>
      <c r="H452" s="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5"/>
      <c r="B453" s="5"/>
      <c r="C453" s="5"/>
      <c r="D453" s="7"/>
      <c r="E453" s="8"/>
      <c r="F453" s="7"/>
      <c r="G453" s="7"/>
      <c r="H453" s="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5"/>
      <c r="B454" s="5"/>
      <c r="C454" s="5"/>
      <c r="D454" s="7"/>
      <c r="E454" s="8"/>
      <c r="F454" s="7"/>
      <c r="G454" s="7"/>
      <c r="H454" s="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5"/>
      <c r="B455" s="5"/>
      <c r="C455" s="5"/>
      <c r="D455" s="7"/>
      <c r="E455" s="8"/>
      <c r="F455" s="7"/>
      <c r="G455" s="7"/>
      <c r="H455" s="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5"/>
      <c r="B456" s="5"/>
      <c r="C456" s="5"/>
      <c r="D456" s="7"/>
      <c r="E456" s="8"/>
      <c r="F456" s="7"/>
      <c r="G456" s="7"/>
      <c r="H456" s="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5"/>
      <c r="B457" s="5"/>
      <c r="C457" s="5"/>
      <c r="D457" s="7"/>
      <c r="E457" s="8"/>
      <c r="F457" s="7"/>
      <c r="G457" s="7"/>
      <c r="H457" s="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5"/>
      <c r="B458" s="5"/>
      <c r="C458" s="5"/>
      <c r="D458" s="7"/>
      <c r="E458" s="8"/>
      <c r="F458" s="7"/>
      <c r="G458" s="7"/>
      <c r="H458" s="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5"/>
      <c r="B459" s="5"/>
      <c r="C459" s="5"/>
      <c r="D459" s="7"/>
      <c r="E459" s="8"/>
      <c r="F459" s="7"/>
      <c r="G459" s="7"/>
      <c r="H459" s="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5"/>
      <c r="B460" s="5"/>
      <c r="C460" s="5"/>
      <c r="D460" s="7"/>
      <c r="E460" s="8"/>
      <c r="F460" s="7"/>
      <c r="G460" s="7"/>
      <c r="H460" s="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5"/>
      <c r="B461" s="5"/>
      <c r="C461" s="5"/>
      <c r="D461" s="7"/>
      <c r="E461" s="8"/>
      <c r="F461" s="7"/>
      <c r="G461" s="7"/>
      <c r="H461" s="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5"/>
      <c r="B462" s="5"/>
      <c r="C462" s="5"/>
      <c r="D462" s="7"/>
      <c r="E462" s="8"/>
      <c r="F462" s="7"/>
      <c r="G462" s="7"/>
      <c r="H462" s="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5"/>
      <c r="B463" s="5"/>
      <c r="C463" s="5"/>
      <c r="D463" s="7"/>
      <c r="E463" s="8"/>
      <c r="F463" s="7"/>
      <c r="G463" s="7"/>
      <c r="H463" s="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5"/>
      <c r="B464" s="5"/>
      <c r="C464" s="5"/>
      <c r="D464" s="7"/>
      <c r="E464" s="8"/>
      <c r="F464" s="7"/>
      <c r="G464" s="7"/>
      <c r="H464" s="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5"/>
      <c r="B465" s="5"/>
      <c r="C465" s="5"/>
      <c r="D465" s="7"/>
      <c r="E465" s="8"/>
      <c r="F465" s="7"/>
      <c r="G465" s="7"/>
      <c r="H465" s="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5"/>
      <c r="B466" s="5"/>
      <c r="C466" s="5"/>
      <c r="D466" s="7"/>
      <c r="E466" s="8"/>
      <c r="F466" s="7"/>
      <c r="G466" s="7"/>
      <c r="H466" s="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5"/>
      <c r="B467" s="5"/>
      <c r="C467" s="5"/>
      <c r="D467" s="7"/>
      <c r="E467" s="8"/>
      <c r="F467" s="7"/>
      <c r="G467" s="7"/>
      <c r="H467" s="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5"/>
      <c r="B468" s="5"/>
      <c r="C468" s="5"/>
      <c r="D468" s="7"/>
      <c r="E468" s="8"/>
      <c r="F468" s="7"/>
      <c r="G468" s="7"/>
      <c r="H468" s="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5"/>
      <c r="B469" s="5"/>
      <c r="C469" s="5"/>
      <c r="D469" s="7"/>
      <c r="E469" s="8"/>
      <c r="F469" s="7"/>
      <c r="G469" s="7"/>
      <c r="H469" s="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5"/>
      <c r="B470" s="5"/>
      <c r="C470" s="5"/>
      <c r="D470" s="7"/>
      <c r="E470" s="8"/>
      <c r="F470" s="7"/>
      <c r="G470" s="7"/>
      <c r="H470" s="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5"/>
      <c r="B471" s="5"/>
      <c r="C471" s="5"/>
      <c r="D471" s="7"/>
      <c r="E471" s="8"/>
      <c r="F471" s="7"/>
      <c r="G471" s="7"/>
      <c r="H471" s="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5"/>
      <c r="B472" s="5"/>
      <c r="C472" s="5"/>
      <c r="D472" s="7"/>
      <c r="E472" s="8"/>
      <c r="F472" s="7"/>
      <c r="G472" s="7"/>
      <c r="H472" s="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5"/>
      <c r="B473" s="5"/>
      <c r="C473" s="5"/>
      <c r="D473" s="7"/>
      <c r="E473" s="8"/>
      <c r="F473" s="7"/>
      <c r="G473" s="7"/>
      <c r="H473" s="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5"/>
      <c r="B474" s="5"/>
      <c r="C474" s="5"/>
      <c r="D474" s="7"/>
      <c r="E474" s="8"/>
      <c r="F474" s="7"/>
      <c r="G474" s="7"/>
      <c r="H474" s="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5"/>
      <c r="B475" s="5"/>
      <c r="C475" s="5"/>
      <c r="D475" s="7"/>
      <c r="E475" s="8"/>
      <c r="F475" s="7"/>
      <c r="G475" s="7"/>
      <c r="H475" s="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5"/>
      <c r="B476" s="5"/>
      <c r="C476" s="5"/>
      <c r="D476" s="7"/>
      <c r="E476" s="8"/>
      <c r="F476" s="7"/>
      <c r="G476" s="7"/>
      <c r="H476" s="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5"/>
      <c r="B477" s="5"/>
      <c r="C477" s="5"/>
      <c r="D477" s="7"/>
      <c r="E477" s="8"/>
      <c r="F477" s="7"/>
      <c r="G477" s="7"/>
      <c r="H477" s="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5"/>
      <c r="B478" s="5"/>
      <c r="C478" s="5"/>
      <c r="D478" s="7"/>
      <c r="E478" s="8"/>
      <c r="F478" s="7"/>
      <c r="G478" s="7"/>
      <c r="H478" s="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5"/>
      <c r="B479" s="5"/>
      <c r="C479" s="5"/>
      <c r="D479" s="7"/>
      <c r="E479" s="8"/>
      <c r="F479" s="7"/>
      <c r="G479" s="7"/>
      <c r="H479" s="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5"/>
      <c r="B480" s="5"/>
      <c r="C480" s="5"/>
      <c r="D480" s="7"/>
      <c r="E480" s="8"/>
      <c r="F480" s="7"/>
      <c r="G480" s="7"/>
      <c r="H480" s="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5"/>
      <c r="B481" s="5"/>
      <c r="C481" s="5"/>
      <c r="D481" s="7"/>
      <c r="E481" s="8"/>
      <c r="F481" s="7"/>
      <c r="G481" s="7"/>
      <c r="H481" s="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5"/>
      <c r="B482" s="5"/>
      <c r="C482" s="5"/>
      <c r="D482" s="7"/>
      <c r="E482" s="8"/>
      <c r="F482" s="7"/>
      <c r="G482" s="7"/>
      <c r="H482" s="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5"/>
      <c r="B483" s="5"/>
      <c r="C483" s="5"/>
      <c r="D483" s="7"/>
      <c r="E483" s="8"/>
      <c r="F483" s="7"/>
      <c r="G483" s="7"/>
      <c r="H483" s="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5"/>
      <c r="B484" s="5"/>
      <c r="C484" s="5"/>
      <c r="D484" s="7"/>
      <c r="E484" s="8"/>
      <c r="F484" s="7"/>
      <c r="G484" s="7"/>
      <c r="H484" s="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5"/>
      <c r="B485" s="5"/>
      <c r="C485" s="5"/>
      <c r="D485" s="7"/>
      <c r="E485" s="8"/>
      <c r="F485" s="7"/>
      <c r="G485" s="7"/>
      <c r="H485" s="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5"/>
      <c r="B486" s="5"/>
      <c r="C486" s="5"/>
      <c r="D486" s="7"/>
      <c r="E486" s="8"/>
      <c r="F486" s="7"/>
      <c r="G486" s="7"/>
      <c r="H486" s="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5"/>
      <c r="B487" s="5"/>
      <c r="C487" s="5"/>
      <c r="D487" s="7"/>
      <c r="E487" s="8"/>
      <c r="F487" s="7"/>
      <c r="G487" s="7"/>
      <c r="H487" s="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5"/>
      <c r="B488" s="5"/>
      <c r="C488" s="5"/>
      <c r="D488" s="7"/>
      <c r="E488" s="8"/>
      <c r="F488" s="7"/>
      <c r="G488" s="7"/>
      <c r="H488" s="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5"/>
      <c r="B489" s="5"/>
      <c r="C489" s="5"/>
      <c r="D489" s="7"/>
      <c r="E489" s="8"/>
      <c r="F489" s="7"/>
      <c r="G489" s="7"/>
      <c r="H489" s="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5"/>
      <c r="B490" s="5"/>
      <c r="C490" s="5"/>
      <c r="D490" s="7"/>
      <c r="E490" s="8"/>
      <c r="F490" s="7"/>
      <c r="G490" s="7"/>
      <c r="H490" s="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5"/>
      <c r="B491" s="5"/>
      <c r="C491" s="5"/>
      <c r="D491" s="7"/>
      <c r="E491" s="8"/>
      <c r="F491" s="7"/>
      <c r="G491" s="7"/>
      <c r="H491" s="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5"/>
      <c r="B492" s="5"/>
      <c r="C492" s="5"/>
      <c r="D492" s="7"/>
      <c r="E492" s="8"/>
      <c r="F492" s="7"/>
      <c r="G492" s="7"/>
      <c r="H492" s="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5"/>
      <c r="B493" s="5"/>
      <c r="C493" s="5"/>
      <c r="D493" s="7"/>
      <c r="E493" s="8"/>
      <c r="F493" s="7"/>
      <c r="G493" s="7"/>
      <c r="H493" s="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5"/>
      <c r="B494" s="5"/>
      <c r="C494" s="5"/>
      <c r="D494" s="7"/>
      <c r="E494" s="8"/>
      <c r="F494" s="7"/>
      <c r="G494" s="7"/>
      <c r="H494" s="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5"/>
      <c r="B495" s="5"/>
      <c r="C495" s="5"/>
      <c r="D495" s="7"/>
      <c r="E495" s="8"/>
      <c r="F495" s="7"/>
      <c r="G495" s="7"/>
      <c r="H495" s="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5"/>
      <c r="B496" s="5"/>
      <c r="C496" s="5"/>
      <c r="D496" s="7"/>
      <c r="E496" s="8"/>
      <c r="F496" s="7"/>
      <c r="G496" s="7"/>
      <c r="H496" s="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5"/>
      <c r="B497" s="5"/>
      <c r="C497" s="5"/>
      <c r="D497" s="7"/>
      <c r="E497" s="8"/>
      <c r="F497" s="7"/>
      <c r="G497" s="7"/>
      <c r="H497" s="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5"/>
      <c r="B498" s="5"/>
      <c r="C498" s="5"/>
      <c r="D498" s="7"/>
      <c r="E498" s="8"/>
      <c r="F498" s="7"/>
      <c r="G498" s="7"/>
      <c r="H498" s="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5"/>
      <c r="B499" s="5"/>
      <c r="C499" s="5"/>
      <c r="D499" s="7"/>
      <c r="E499" s="8"/>
      <c r="F499" s="7"/>
      <c r="G499" s="7"/>
      <c r="H499" s="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5"/>
      <c r="B500" s="5"/>
      <c r="C500" s="5"/>
      <c r="D500" s="7"/>
      <c r="E500" s="8"/>
      <c r="F500" s="7"/>
      <c r="G500" s="7"/>
      <c r="H500" s="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5"/>
      <c r="B501" s="5"/>
      <c r="C501" s="5"/>
      <c r="D501" s="7"/>
      <c r="E501" s="8"/>
      <c r="F501" s="7"/>
      <c r="G501" s="7"/>
      <c r="H501" s="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5"/>
      <c r="B502" s="5"/>
      <c r="C502" s="5"/>
      <c r="D502" s="7"/>
      <c r="E502" s="8"/>
      <c r="F502" s="7"/>
      <c r="G502" s="7"/>
      <c r="H502" s="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5"/>
      <c r="B503" s="5"/>
      <c r="C503" s="5"/>
      <c r="D503" s="7"/>
      <c r="E503" s="8"/>
      <c r="F503" s="7"/>
      <c r="G503" s="7"/>
      <c r="H503" s="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5"/>
      <c r="B504" s="5"/>
      <c r="C504" s="5"/>
      <c r="D504" s="7"/>
      <c r="E504" s="8"/>
      <c r="F504" s="7"/>
      <c r="G504" s="7"/>
      <c r="H504" s="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5"/>
      <c r="B505" s="5"/>
      <c r="C505" s="5"/>
      <c r="D505" s="7"/>
      <c r="E505" s="8"/>
      <c r="F505" s="7"/>
      <c r="G505" s="7"/>
      <c r="H505" s="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5"/>
      <c r="B506" s="5"/>
      <c r="C506" s="5"/>
      <c r="D506" s="7"/>
      <c r="E506" s="8"/>
      <c r="F506" s="7"/>
      <c r="G506" s="7"/>
      <c r="H506" s="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5"/>
      <c r="B507" s="5"/>
      <c r="C507" s="5"/>
      <c r="D507" s="7"/>
      <c r="E507" s="8"/>
      <c r="F507" s="7"/>
      <c r="G507" s="7"/>
      <c r="H507" s="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5"/>
      <c r="B508" s="5"/>
      <c r="C508" s="5"/>
      <c r="D508" s="7"/>
      <c r="E508" s="8"/>
      <c r="F508" s="7"/>
      <c r="G508" s="7"/>
      <c r="H508" s="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5"/>
      <c r="B509" s="5"/>
      <c r="C509" s="5"/>
      <c r="D509" s="7"/>
      <c r="E509" s="8"/>
      <c r="F509" s="7"/>
      <c r="G509" s="7"/>
      <c r="H509" s="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5"/>
      <c r="B510" s="5"/>
      <c r="C510" s="5"/>
      <c r="D510" s="7"/>
      <c r="E510" s="8"/>
      <c r="F510" s="7"/>
      <c r="G510" s="7"/>
      <c r="H510" s="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5"/>
      <c r="B511" s="5"/>
      <c r="C511" s="5"/>
      <c r="D511" s="7"/>
      <c r="E511" s="8"/>
      <c r="F511" s="7"/>
      <c r="G511" s="7"/>
      <c r="H511" s="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5"/>
      <c r="B512" s="5"/>
      <c r="C512" s="5"/>
      <c r="D512" s="7"/>
      <c r="E512" s="8"/>
      <c r="F512" s="7"/>
      <c r="G512" s="7"/>
      <c r="H512" s="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5"/>
      <c r="B513" s="5"/>
      <c r="C513" s="5"/>
      <c r="D513" s="7"/>
      <c r="E513" s="8"/>
      <c r="F513" s="7"/>
      <c r="G513" s="7"/>
      <c r="H513" s="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5"/>
      <c r="B514" s="5"/>
      <c r="C514" s="5"/>
      <c r="D514" s="7"/>
      <c r="E514" s="8"/>
      <c r="F514" s="7"/>
      <c r="G514" s="7"/>
      <c r="H514" s="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5"/>
      <c r="B515" s="5"/>
      <c r="C515" s="5"/>
      <c r="D515" s="7"/>
      <c r="E515" s="8"/>
      <c r="F515" s="7"/>
      <c r="G515" s="7"/>
      <c r="H515" s="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5"/>
      <c r="B516" s="5"/>
      <c r="C516" s="5"/>
      <c r="D516" s="7"/>
      <c r="E516" s="8"/>
      <c r="F516" s="7"/>
      <c r="G516" s="7"/>
      <c r="H516" s="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5"/>
      <c r="B517" s="5"/>
      <c r="C517" s="5"/>
      <c r="D517" s="7"/>
      <c r="E517" s="8"/>
      <c r="F517" s="7"/>
      <c r="G517" s="7"/>
      <c r="H517" s="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5"/>
      <c r="B518" s="5"/>
      <c r="C518" s="5"/>
      <c r="D518" s="7"/>
      <c r="E518" s="8"/>
      <c r="F518" s="7"/>
      <c r="G518" s="7"/>
      <c r="H518" s="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5"/>
      <c r="B519" s="5"/>
      <c r="C519" s="5"/>
      <c r="D519" s="7"/>
      <c r="E519" s="8"/>
      <c r="F519" s="7"/>
      <c r="G519" s="7"/>
      <c r="H519" s="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5"/>
      <c r="B520" s="5"/>
      <c r="C520" s="5"/>
      <c r="D520" s="7"/>
      <c r="E520" s="8"/>
      <c r="F520" s="7"/>
      <c r="G520" s="7"/>
      <c r="H520" s="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5"/>
      <c r="B521" s="5"/>
      <c r="C521" s="5"/>
      <c r="D521" s="7"/>
      <c r="E521" s="8"/>
      <c r="F521" s="7"/>
      <c r="G521" s="7"/>
      <c r="H521" s="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5"/>
      <c r="B522" s="5"/>
      <c r="C522" s="5"/>
      <c r="D522" s="7"/>
      <c r="E522" s="8"/>
      <c r="F522" s="7"/>
      <c r="G522" s="7"/>
      <c r="H522" s="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5"/>
      <c r="B523" s="5"/>
      <c r="C523" s="5"/>
      <c r="D523" s="7"/>
      <c r="E523" s="8"/>
      <c r="F523" s="7"/>
      <c r="G523" s="7"/>
      <c r="H523" s="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5"/>
      <c r="B524" s="5"/>
      <c r="C524" s="5"/>
      <c r="D524" s="7"/>
      <c r="E524" s="8"/>
      <c r="F524" s="7"/>
      <c r="G524" s="7"/>
      <c r="H524" s="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5"/>
      <c r="B525" s="5"/>
      <c r="C525" s="5"/>
      <c r="D525" s="7"/>
      <c r="E525" s="8"/>
      <c r="F525" s="7"/>
      <c r="G525" s="7"/>
      <c r="H525" s="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5"/>
      <c r="B526" s="5"/>
      <c r="C526" s="5"/>
      <c r="D526" s="7"/>
      <c r="E526" s="8"/>
      <c r="F526" s="7"/>
      <c r="G526" s="7"/>
      <c r="H526" s="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5"/>
      <c r="B527" s="5"/>
      <c r="C527" s="5"/>
      <c r="D527" s="7"/>
      <c r="E527" s="8"/>
      <c r="F527" s="7"/>
      <c r="G527" s="7"/>
      <c r="H527" s="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5"/>
      <c r="B528" s="5"/>
      <c r="C528" s="5"/>
      <c r="D528" s="7"/>
      <c r="E528" s="8"/>
      <c r="F528" s="7"/>
      <c r="G528" s="7"/>
      <c r="H528" s="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5"/>
      <c r="B529" s="5"/>
      <c r="C529" s="5"/>
      <c r="D529" s="7"/>
      <c r="E529" s="8"/>
      <c r="F529" s="7"/>
      <c r="G529" s="7"/>
      <c r="H529" s="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5"/>
      <c r="B530" s="5"/>
      <c r="C530" s="5"/>
      <c r="D530" s="7"/>
      <c r="E530" s="8"/>
      <c r="F530" s="7"/>
      <c r="G530" s="7"/>
      <c r="H530" s="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5"/>
      <c r="B531" s="5"/>
      <c r="C531" s="5"/>
      <c r="D531" s="7"/>
      <c r="E531" s="8"/>
      <c r="F531" s="7"/>
      <c r="G531" s="7"/>
      <c r="H531" s="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5"/>
      <c r="B532" s="5"/>
      <c r="C532" s="5"/>
      <c r="D532" s="7"/>
      <c r="E532" s="8"/>
      <c r="F532" s="7"/>
      <c r="G532" s="7"/>
      <c r="H532" s="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5"/>
      <c r="B533" s="5"/>
      <c r="C533" s="5"/>
      <c r="D533" s="7"/>
      <c r="E533" s="8"/>
      <c r="F533" s="7"/>
      <c r="G533" s="7"/>
      <c r="H533" s="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5"/>
      <c r="B534" s="5"/>
      <c r="C534" s="5"/>
      <c r="D534" s="7"/>
      <c r="E534" s="8"/>
      <c r="F534" s="7"/>
      <c r="G534" s="7"/>
      <c r="H534" s="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5"/>
      <c r="B535" s="5"/>
      <c r="C535" s="5"/>
      <c r="D535" s="7"/>
      <c r="E535" s="8"/>
      <c r="F535" s="7"/>
      <c r="G535" s="7"/>
      <c r="H535" s="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5"/>
      <c r="B536" s="5"/>
      <c r="C536" s="5"/>
      <c r="D536" s="7"/>
      <c r="E536" s="8"/>
      <c r="F536" s="7"/>
      <c r="G536" s="7"/>
      <c r="H536" s="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5"/>
      <c r="B537" s="5"/>
      <c r="C537" s="5"/>
      <c r="D537" s="7"/>
      <c r="E537" s="8"/>
      <c r="F537" s="7"/>
      <c r="G537" s="7"/>
      <c r="H537" s="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5"/>
      <c r="B538" s="5"/>
      <c r="C538" s="5"/>
      <c r="D538" s="7"/>
      <c r="E538" s="8"/>
      <c r="F538" s="7"/>
      <c r="G538" s="7"/>
      <c r="H538" s="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5"/>
      <c r="B539" s="5"/>
      <c r="C539" s="5"/>
      <c r="D539" s="7"/>
      <c r="E539" s="8"/>
      <c r="F539" s="7"/>
      <c r="G539" s="7"/>
      <c r="H539" s="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5"/>
      <c r="B540" s="5"/>
      <c r="C540" s="5"/>
      <c r="D540" s="7"/>
      <c r="E540" s="8"/>
      <c r="F540" s="7"/>
      <c r="G540" s="7"/>
      <c r="H540" s="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5"/>
      <c r="B541" s="5"/>
      <c r="C541" s="5"/>
      <c r="D541" s="7"/>
      <c r="E541" s="8"/>
      <c r="F541" s="7"/>
      <c r="G541" s="7"/>
      <c r="H541" s="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5"/>
      <c r="B542" s="5"/>
      <c r="C542" s="5"/>
      <c r="D542" s="7"/>
      <c r="E542" s="8"/>
      <c r="F542" s="7"/>
      <c r="G542" s="7"/>
      <c r="H542" s="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5"/>
      <c r="B543" s="5"/>
      <c r="C543" s="5"/>
      <c r="D543" s="7"/>
      <c r="E543" s="8"/>
      <c r="F543" s="7"/>
      <c r="G543" s="7"/>
      <c r="H543" s="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5"/>
      <c r="B544" s="5"/>
      <c r="C544" s="5"/>
      <c r="D544" s="7"/>
      <c r="E544" s="8"/>
      <c r="F544" s="7"/>
      <c r="G544" s="7"/>
      <c r="H544" s="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5"/>
      <c r="B545" s="5"/>
      <c r="C545" s="5"/>
      <c r="D545" s="7"/>
      <c r="E545" s="8"/>
      <c r="F545" s="7"/>
      <c r="G545" s="7"/>
      <c r="H545" s="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5"/>
      <c r="B546" s="5"/>
      <c r="C546" s="5"/>
      <c r="D546" s="7"/>
      <c r="E546" s="8"/>
      <c r="F546" s="7"/>
      <c r="G546" s="7"/>
      <c r="H546" s="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5"/>
      <c r="B547" s="5"/>
      <c r="C547" s="5"/>
      <c r="D547" s="7"/>
      <c r="E547" s="8"/>
      <c r="F547" s="7"/>
      <c r="G547" s="7"/>
      <c r="H547" s="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5"/>
      <c r="B548" s="5"/>
      <c r="C548" s="5"/>
      <c r="D548" s="7"/>
      <c r="E548" s="8"/>
      <c r="F548" s="7"/>
      <c r="G548" s="7"/>
      <c r="H548" s="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5"/>
      <c r="B549" s="5"/>
      <c r="C549" s="5"/>
      <c r="D549" s="7"/>
      <c r="E549" s="8"/>
      <c r="F549" s="7"/>
      <c r="G549" s="7"/>
      <c r="H549" s="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5"/>
      <c r="B550" s="5"/>
      <c r="C550" s="5"/>
      <c r="D550" s="7"/>
      <c r="E550" s="8"/>
      <c r="F550" s="7"/>
      <c r="G550" s="7"/>
      <c r="H550" s="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5"/>
      <c r="B551" s="5"/>
      <c r="C551" s="5"/>
      <c r="D551" s="7"/>
      <c r="E551" s="8"/>
      <c r="F551" s="7"/>
      <c r="G551" s="7"/>
      <c r="H551" s="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5"/>
      <c r="B552" s="5"/>
      <c r="C552" s="5"/>
      <c r="D552" s="7"/>
      <c r="E552" s="8"/>
      <c r="F552" s="7"/>
      <c r="G552" s="7"/>
      <c r="H552" s="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5"/>
      <c r="B553" s="5"/>
      <c r="C553" s="5"/>
      <c r="D553" s="7"/>
      <c r="E553" s="8"/>
      <c r="F553" s="7"/>
      <c r="G553" s="7"/>
      <c r="H553" s="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5"/>
      <c r="B554" s="5"/>
      <c r="C554" s="5"/>
      <c r="D554" s="7"/>
      <c r="E554" s="8"/>
      <c r="F554" s="7"/>
      <c r="G554" s="7"/>
      <c r="H554" s="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5"/>
      <c r="B555" s="5"/>
      <c r="C555" s="5"/>
      <c r="D555" s="7"/>
      <c r="E555" s="8"/>
      <c r="F555" s="7"/>
      <c r="G555" s="7"/>
      <c r="H555" s="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5"/>
      <c r="B556" s="5"/>
      <c r="C556" s="5"/>
      <c r="D556" s="7"/>
      <c r="E556" s="8"/>
      <c r="F556" s="7"/>
      <c r="G556" s="7"/>
      <c r="H556" s="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5"/>
      <c r="B557" s="5"/>
      <c r="C557" s="5"/>
      <c r="D557" s="7"/>
      <c r="E557" s="8"/>
      <c r="F557" s="7"/>
      <c r="G557" s="7"/>
      <c r="H557" s="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5"/>
      <c r="B558" s="5"/>
      <c r="C558" s="5"/>
      <c r="D558" s="7"/>
      <c r="E558" s="8"/>
      <c r="F558" s="7"/>
      <c r="G558" s="7"/>
      <c r="H558" s="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5"/>
      <c r="B559" s="5"/>
      <c r="C559" s="5"/>
      <c r="D559" s="7"/>
      <c r="E559" s="8"/>
      <c r="F559" s="7"/>
      <c r="G559" s="7"/>
      <c r="H559" s="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5"/>
      <c r="B560" s="5"/>
      <c r="C560" s="5"/>
      <c r="D560" s="7"/>
      <c r="E560" s="8"/>
      <c r="F560" s="7"/>
      <c r="G560" s="7"/>
      <c r="H560" s="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5"/>
      <c r="B561" s="5"/>
      <c r="C561" s="5"/>
      <c r="D561" s="7"/>
      <c r="E561" s="8"/>
      <c r="F561" s="7"/>
      <c r="G561" s="7"/>
      <c r="H561" s="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5"/>
      <c r="B562" s="5"/>
      <c r="C562" s="5"/>
      <c r="D562" s="7"/>
      <c r="E562" s="8"/>
      <c r="F562" s="7"/>
      <c r="G562" s="7"/>
      <c r="H562" s="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5"/>
      <c r="B563" s="5"/>
      <c r="C563" s="5"/>
      <c r="D563" s="7"/>
      <c r="E563" s="8"/>
      <c r="F563" s="7"/>
      <c r="G563" s="7"/>
      <c r="H563" s="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5"/>
      <c r="B564" s="5"/>
      <c r="C564" s="5"/>
      <c r="D564" s="7"/>
      <c r="E564" s="8"/>
      <c r="F564" s="7"/>
      <c r="G564" s="7"/>
      <c r="H564" s="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5"/>
      <c r="B565" s="5"/>
      <c r="C565" s="5"/>
      <c r="D565" s="7"/>
      <c r="E565" s="8"/>
      <c r="F565" s="7"/>
      <c r="G565" s="7"/>
      <c r="H565" s="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5"/>
      <c r="B566" s="5"/>
      <c r="C566" s="5"/>
      <c r="D566" s="7"/>
      <c r="E566" s="8"/>
      <c r="F566" s="7"/>
      <c r="G566" s="7"/>
      <c r="H566" s="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5"/>
      <c r="B567" s="5"/>
      <c r="C567" s="5"/>
      <c r="D567" s="7"/>
      <c r="E567" s="8"/>
      <c r="F567" s="7"/>
      <c r="G567" s="7"/>
      <c r="H567" s="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5"/>
      <c r="B568" s="5"/>
      <c r="C568" s="5"/>
      <c r="D568" s="7"/>
      <c r="E568" s="8"/>
      <c r="F568" s="7"/>
      <c r="G568" s="7"/>
      <c r="H568" s="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5"/>
      <c r="B569" s="5"/>
      <c r="C569" s="5"/>
      <c r="D569" s="7"/>
      <c r="E569" s="8"/>
      <c r="F569" s="7"/>
      <c r="G569" s="7"/>
      <c r="H569" s="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5"/>
      <c r="B570" s="5"/>
      <c r="C570" s="5"/>
      <c r="D570" s="7"/>
      <c r="E570" s="8"/>
      <c r="F570" s="7"/>
      <c r="G570" s="7"/>
      <c r="H570" s="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5"/>
      <c r="B571" s="5"/>
      <c r="C571" s="5"/>
      <c r="D571" s="7"/>
      <c r="E571" s="8"/>
      <c r="F571" s="7"/>
      <c r="G571" s="7"/>
      <c r="H571" s="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5"/>
      <c r="B572" s="5"/>
      <c r="C572" s="5"/>
      <c r="D572" s="7"/>
      <c r="E572" s="8"/>
      <c r="F572" s="7"/>
      <c r="G572" s="7"/>
      <c r="H572" s="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5"/>
      <c r="B573" s="5"/>
      <c r="C573" s="5"/>
      <c r="D573" s="7"/>
      <c r="E573" s="8"/>
      <c r="F573" s="7"/>
      <c r="G573" s="7"/>
      <c r="H573" s="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5"/>
      <c r="B574" s="5"/>
      <c r="C574" s="5"/>
      <c r="D574" s="7"/>
      <c r="E574" s="8"/>
      <c r="F574" s="7"/>
      <c r="G574" s="7"/>
      <c r="H574" s="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5"/>
      <c r="B575" s="5"/>
      <c r="C575" s="5"/>
      <c r="D575" s="7"/>
      <c r="E575" s="8"/>
      <c r="F575" s="7"/>
      <c r="G575" s="7"/>
      <c r="H575" s="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5"/>
      <c r="B576" s="5"/>
      <c r="C576" s="5"/>
      <c r="D576" s="7"/>
      <c r="E576" s="8"/>
      <c r="F576" s="7"/>
      <c r="G576" s="7"/>
      <c r="H576" s="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5"/>
      <c r="B577" s="5"/>
      <c r="C577" s="5"/>
      <c r="D577" s="7"/>
      <c r="E577" s="8"/>
      <c r="F577" s="7"/>
      <c r="G577" s="7"/>
      <c r="H577" s="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5"/>
      <c r="B578" s="5"/>
      <c r="C578" s="5"/>
      <c r="D578" s="7"/>
      <c r="E578" s="8"/>
      <c r="F578" s="7"/>
      <c r="G578" s="7"/>
      <c r="H578" s="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5"/>
      <c r="B579" s="5"/>
      <c r="C579" s="5"/>
      <c r="D579" s="7"/>
      <c r="E579" s="8"/>
      <c r="F579" s="7"/>
      <c r="G579" s="7"/>
      <c r="H579" s="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5"/>
      <c r="B580" s="5"/>
      <c r="C580" s="5"/>
      <c r="D580" s="7"/>
      <c r="E580" s="8"/>
      <c r="F580" s="7"/>
      <c r="G580" s="7"/>
      <c r="H580" s="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5"/>
      <c r="B581" s="5"/>
      <c r="C581" s="5"/>
      <c r="D581" s="7"/>
      <c r="E581" s="8"/>
      <c r="F581" s="7"/>
      <c r="G581" s="7"/>
      <c r="H581" s="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5"/>
      <c r="B582" s="5"/>
      <c r="C582" s="5"/>
      <c r="D582" s="7"/>
      <c r="E582" s="8"/>
      <c r="F582" s="7"/>
      <c r="G582" s="7"/>
      <c r="H582" s="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5"/>
      <c r="B583" s="5"/>
      <c r="C583" s="5"/>
      <c r="D583" s="7"/>
      <c r="E583" s="8"/>
      <c r="F583" s="7"/>
      <c r="G583" s="7"/>
      <c r="H583" s="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5"/>
      <c r="B584" s="5"/>
      <c r="C584" s="5"/>
      <c r="D584" s="7"/>
      <c r="E584" s="8"/>
      <c r="F584" s="7"/>
      <c r="G584" s="7"/>
      <c r="H584" s="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5"/>
      <c r="B585" s="5"/>
      <c r="C585" s="5"/>
      <c r="D585" s="7"/>
      <c r="E585" s="8"/>
      <c r="F585" s="7"/>
      <c r="G585" s="7"/>
      <c r="H585" s="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5"/>
      <c r="B586" s="5"/>
      <c r="C586" s="5"/>
      <c r="D586" s="7"/>
      <c r="E586" s="8"/>
      <c r="F586" s="7"/>
      <c r="G586" s="7"/>
      <c r="H586" s="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5"/>
      <c r="B587" s="5"/>
      <c r="C587" s="5"/>
      <c r="D587" s="7"/>
      <c r="E587" s="8"/>
      <c r="F587" s="7"/>
      <c r="G587" s="7"/>
      <c r="H587" s="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5"/>
      <c r="B588" s="5"/>
      <c r="C588" s="5"/>
      <c r="D588" s="7"/>
      <c r="E588" s="8"/>
      <c r="F588" s="7"/>
      <c r="G588" s="7"/>
      <c r="H588" s="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5"/>
      <c r="B589" s="5"/>
      <c r="C589" s="5"/>
      <c r="D589" s="7"/>
      <c r="E589" s="8"/>
      <c r="F589" s="7"/>
      <c r="G589" s="7"/>
      <c r="H589" s="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5"/>
      <c r="B590" s="5"/>
      <c r="C590" s="5"/>
      <c r="D590" s="7"/>
      <c r="E590" s="8"/>
      <c r="F590" s="7"/>
      <c r="G590" s="7"/>
      <c r="H590" s="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5"/>
      <c r="B591" s="5"/>
      <c r="C591" s="5"/>
      <c r="D591" s="7"/>
      <c r="E591" s="8"/>
      <c r="F591" s="7"/>
      <c r="G591" s="7"/>
      <c r="H591" s="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5"/>
      <c r="B592" s="5"/>
      <c r="C592" s="5"/>
      <c r="D592" s="7"/>
      <c r="E592" s="8"/>
      <c r="F592" s="7"/>
      <c r="G592" s="7"/>
      <c r="H592" s="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5"/>
      <c r="B593" s="5"/>
      <c r="C593" s="5"/>
      <c r="D593" s="7"/>
      <c r="E593" s="8"/>
      <c r="F593" s="7"/>
      <c r="G593" s="7"/>
      <c r="H593" s="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5"/>
      <c r="B594" s="5"/>
      <c r="C594" s="5"/>
      <c r="D594" s="7"/>
      <c r="E594" s="8"/>
      <c r="F594" s="7"/>
      <c r="G594" s="7"/>
      <c r="H594" s="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5"/>
      <c r="B595" s="5"/>
      <c r="C595" s="5"/>
      <c r="D595" s="7"/>
      <c r="E595" s="8"/>
      <c r="F595" s="7"/>
      <c r="G595" s="7"/>
      <c r="H595" s="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5"/>
      <c r="B596" s="5"/>
      <c r="C596" s="5"/>
      <c r="D596" s="7"/>
      <c r="E596" s="8"/>
      <c r="F596" s="7"/>
      <c r="G596" s="7"/>
      <c r="H596" s="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5"/>
      <c r="B597" s="5"/>
      <c r="C597" s="5"/>
      <c r="D597" s="7"/>
      <c r="E597" s="8"/>
      <c r="F597" s="7"/>
      <c r="G597" s="7"/>
      <c r="H597" s="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5"/>
      <c r="B598" s="5"/>
      <c r="C598" s="5"/>
      <c r="D598" s="7"/>
      <c r="E598" s="8"/>
      <c r="F598" s="7"/>
      <c r="G598" s="7"/>
      <c r="H598" s="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5"/>
      <c r="B599" s="5"/>
      <c r="C599" s="5"/>
      <c r="D599" s="7"/>
      <c r="E599" s="8"/>
      <c r="F599" s="7"/>
      <c r="G599" s="7"/>
      <c r="H599" s="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5"/>
      <c r="B600" s="5"/>
      <c r="C600" s="5"/>
      <c r="D600" s="7"/>
      <c r="E600" s="8"/>
      <c r="F600" s="7"/>
      <c r="G600" s="7"/>
      <c r="H600" s="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5"/>
      <c r="B601" s="5"/>
      <c r="C601" s="5"/>
      <c r="D601" s="7"/>
      <c r="E601" s="8"/>
      <c r="F601" s="7"/>
      <c r="G601" s="7"/>
      <c r="H601" s="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5"/>
      <c r="B602" s="5"/>
      <c r="C602" s="5"/>
      <c r="D602" s="7"/>
      <c r="E602" s="8"/>
      <c r="F602" s="7"/>
      <c r="G602" s="7"/>
      <c r="H602" s="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5"/>
      <c r="B603" s="5"/>
      <c r="C603" s="5"/>
      <c r="D603" s="7"/>
      <c r="E603" s="8"/>
      <c r="F603" s="7"/>
      <c r="G603" s="7"/>
      <c r="H603" s="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5"/>
      <c r="B604" s="5"/>
      <c r="C604" s="5"/>
      <c r="D604" s="7"/>
      <c r="E604" s="8"/>
      <c r="F604" s="7"/>
      <c r="G604" s="7"/>
      <c r="H604" s="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5"/>
      <c r="B605" s="5"/>
      <c r="C605" s="5"/>
      <c r="D605" s="7"/>
      <c r="E605" s="8"/>
      <c r="F605" s="7"/>
      <c r="G605" s="7"/>
      <c r="H605" s="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5"/>
      <c r="B606" s="5"/>
      <c r="C606" s="5"/>
      <c r="D606" s="7"/>
      <c r="E606" s="8"/>
      <c r="F606" s="7"/>
      <c r="G606" s="7"/>
      <c r="H606" s="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5"/>
      <c r="B607" s="5"/>
      <c r="C607" s="5"/>
      <c r="D607" s="7"/>
      <c r="E607" s="8"/>
      <c r="F607" s="7"/>
      <c r="G607" s="7"/>
      <c r="H607" s="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5"/>
      <c r="B608" s="5"/>
      <c r="C608" s="5"/>
      <c r="D608" s="7"/>
      <c r="E608" s="8"/>
      <c r="F608" s="7"/>
      <c r="G608" s="7"/>
      <c r="H608" s="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5"/>
      <c r="B609" s="5"/>
      <c r="C609" s="5"/>
      <c r="D609" s="7"/>
      <c r="E609" s="8"/>
      <c r="F609" s="7"/>
      <c r="G609" s="7"/>
      <c r="H609" s="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5"/>
      <c r="B610" s="5"/>
      <c r="C610" s="5"/>
      <c r="D610" s="7"/>
      <c r="E610" s="8"/>
      <c r="F610" s="7"/>
      <c r="G610" s="7"/>
      <c r="H610" s="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5"/>
      <c r="B611" s="5"/>
      <c r="C611" s="5"/>
      <c r="D611" s="7"/>
      <c r="E611" s="8"/>
      <c r="F611" s="7"/>
      <c r="G611" s="7"/>
      <c r="H611" s="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5"/>
      <c r="B612" s="5"/>
      <c r="C612" s="5"/>
      <c r="D612" s="7"/>
      <c r="E612" s="8"/>
      <c r="F612" s="7"/>
      <c r="G612" s="7"/>
      <c r="H612" s="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5"/>
      <c r="B613" s="5"/>
      <c r="C613" s="5"/>
      <c r="D613" s="7"/>
      <c r="E613" s="8"/>
      <c r="F613" s="7"/>
      <c r="G613" s="7"/>
      <c r="H613" s="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5"/>
      <c r="B614" s="5"/>
      <c r="C614" s="5"/>
      <c r="D614" s="7"/>
      <c r="E614" s="8"/>
      <c r="F614" s="7"/>
      <c r="G614" s="7"/>
      <c r="H614" s="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5"/>
      <c r="B615" s="5"/>
      <c r="C615" s="5"/>
      <c r="D615" s="7"/>
      <c r="E615" s="8"/>
      <c r="F615" s="7"/>
      <c r="G615" s="7"/>
      <c r="H615" s="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5"/>
      <c r="B616" s="5"/>
      <c r="C616" s="5"/>
      <c r="D616" s="7"/>
      <c r="E616" s="8"/>
      <c r="F616" s="7"/>
      <c r="G616" s="7"/>
      <c r="H616" s="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5"/>
      <c r="B617" s="5"/>
      <c r="C617" s="5"/>
      <c r="D617" s="7"/>
      <c r="E617" s="8"/>
      <c r="F617" s="7"/>
      <c r="G617" s="7"/>
      <c r="H617" s="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5"/>
      <c r="B618" s="5"/>
      <c r="C618" s="5"/>
      <c r="D618" s="7"/>
      <c r="E618" s="8"/>
      <c r="F618" s="7"/>
      <c r="G618" s="7"/>
      <c r="H618" s="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5"/>
      <c r="B619" s="5"/>
      <c r="C619" s="5"/>
      <c r="D619" s="7"/>
      <c r="E619" s="8"/>
      <c r="F619" s="7"/>
      <c r="G619" s="7"/>
      <c r="H619" s="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5"/>
      <c r="B620" s="5"/>
      <c r="C620" s="5"/>
      <c r="D620" s="7"/>
      <c r="E620" s="8"/>
      <c r="F620" s="7"/>
      <c r="G620" s="7"/>
      <c r="H620" s="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5"/>
      <c r="B621" s="5"/>
      <c r="C621" s="5"/>
      <c r="D621" s="7"/>
      <c r="E621" s="8"/>
      <c r="F621" s="7"/>
      <c r="G621" s="7"/>
      <c r="H621" s="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5"/>
      <c r="B622" s="5"/>
      <c r="C622" s="5"/>
      <c r="D622" s="7"/>
      <c r="E622" s="8"/>
      <c r="F622" s="7"/>
      <c r="G622" s="7"/>
      <c r="H622" s="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5"/>
      <c r="B623" s="5"/>
      <c r="C623" s="5"/>
      <c r="D623" s="7"/>
      <c r="E623" s="8"/>
      <c r="F623" s="7"/>
      <c r="G623" s="7"/>
      <c r="H623" s="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5"/>
      <c r="B624" s="5"/>
      <c r="C624" s="5"/>
      <c r="D624" s="7"/>
      <c r="E624" s="8"/>
      <c r="F624" s="7"/>
      <c r="G624" s="7"/>
      <c r="H624" s="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5"/>
      <c r="B625" s="5"/>
      <c r="C625" s="5"/>
      <c r="D625" s="7"/>
      <c r="E625" s="8"/>
      <c r="F625" s="7"/>
      <c r="G625" s="7"/>
      <c r="H625" s="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5"/>
      <c r="B626" s="5"/>
      <c r="C626" s="5"/>
      <c r="D626" s="7"/>
      <c r="E626" s="8"/>
      <c r="F626" s="7"/>
      <c r="G626" s="7"/>
      <c r="H626" s="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5"/>
      <c r="B627" s="5"/>
      <c r="C627" s="5"/>
      <c r="D627" s="7"/>
      <c r="E627" s="8"/>
      <c r="F627" s="7"/>
      <c r="G627" s="7"/>
      <c r="H627" s="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5"/>
      <c r="B628" s="5"/>
      <c r="C628" s="5"/>
      <c r="D628" s="7"/>
      <c r="E628" s="8"/>
      <c r="F628" s="7"/>
      <c r="G628" s="7"/>
      <c r="H628" s="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5"/>
      <c r="B629" s="5"/>
      <c r="C629" s="5"/>
      <c r="D629" s="7"/>
      <c r="E629" s="8"/>
      <c r="F629" s="7"/>
      <c r="G629" s="7"/>
      <c r="H629" s="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5"/>
      <c r="B630" s="5"/>
      <c r="C630" s="5"/>
      <c r="D630" s="7"/>
      <c r="E630" s="8"/>
      <c r="F630" s="7"/>
      <c r="G630" s="7"/>
      <c r="H630" s="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5"/>
      <c r="B631" s="5"/>
      <c r="C631" s="5"/>
      <c r="D631" s="7"/>
      <c r="E631" s="8"/>
      <c r="F631" s="7"/>
      <c r="G631" s="7"/>
      <c r="H631" s="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5"/>
      <c r="B632" s="5"/>
      <c r="C632" s="5"/>
      <c r="D632" s="7"/>
      <c r="E632" s="8"/>
      <c r="F632" s="7"/>
      <c r="G632" s="7"/>
      <c r="H632" s="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5"/>
      <c r="B633" s="5"/>
      <c r="C633" s="5"/>
      <c r="D633" s="7"/>
      <c r="E633" s="8"/>
      <c r="F633" s="7"/>
      <c r="G633" s="7"/>
      <c r="H633" s="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5"/>
      <c r="B634" s="5"/>
      <c r="C634" s="5"/>
      <c r="D634" s="7"/>
      <c r="E634" s="8"/>
      <c r="F634" s="7"/>
      <c r="G634" s="7"/>
      <c r="H634" s="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5"/>
      <c r="B635" s="5"/>
      <c r="C635" s="5"/>
      <c r="D635" s="7"/>
      <c r="E635" s="8"/>
      <c r="F635" s="7"/>
      <c r="G635" s="7"/>
      <c r="H635" s="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5"/>
      <c r="B636" s="5"/>
      <c r="C636" s="5"/>
      <c r="D636" s="7"/>
      <c r="E636" s="8"/>
      <c r="F636" s="7"/>
      <c r="G636" s="7"/>
      <c r="H636" s="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5"/>
      <c r="B637" s="5"/>
      <c r="C637" s="5"/>
      <c r="D637" s="7"/>
      <c r="E637" s="8"/>
      <c r="F637" s="7"/>
      <c r="G637" s="7"/>
      <c r="H637" s="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5"/>
      <c r="B638" s="5"/>
      <c r="C638" s="5"/>
      <c r="D638" s="7"/>
      <c r="E638" s="8"/>
      <c r="F638" s="7"/>
      <c r="G638" s="7"/>
      <c r="H638" s="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5"/>
      <c r="B639" s="5"/>
      <c r="C639" s="5"/>
      <c r="D639" s="7"/>
      <c r="E639" s="8"/>
      <c r="F639" s="7"/>
      <c r="G639" s="7"/>
      <c r="H639" s="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5"/>
      <c r="B640" s="5"/>
      <c r="C640" s="5"/>
      <c r="D640" s="7"/>
      <c r="E640" s="8"/>
      <c r="F640" s="7"/>
      <c r="G640" s="7"/>
      <c r="H640" s="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5"/>
      <c r="B641" s="5"/>
      <c r="C641" s="5"/>
      <c r="D641" s="7"/>
      <c r="E641" s="8"/>
      <c r="F641" s="7"/>
      <c r="G641" s="7"/>
      <c r="H641" s="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5"/>
      <c r="B642" s="5"/>
      <c r="C642" s="5"/>
      <c r="D642" s="7"/>
      <c r="E642" s="8"/>
      <c r="F642" s="7"/>
      <c r="G642" s="7"/>
      <c r="H642" s="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5"/>
      <c r="B643" s="5"/>
      <c r="C643" s="5"/>
      <c r="D643" s="7"/>
      <c r="E643" s="8"/>
      <c r="F643" s="7"/>
      <c r="G643" s="7"/>
      <c r="H643" s="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5"/>
      <c r="B644" s="5"/>
      <c r="C644" s="5"/>
      <c r="D644" s="7"/>
      <c r="E644" s="8"/>
      <c r="F644" s="7"/>
      <c r="G644" s="7"/>
      <c r="H644" s="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5"/>
      <c r="B645" s="5"/>
      <c r="C645" s="5"/>
      <c r="D645" s="7"/>
      <c r="E645" s="8"/>
      <c r="F645" s="7"/>
      <c r="G645" s="7"/>
      <c r="H645" s="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5"/>
      <c r="B646" s="5"/>
      <c r="C646" s="5"/>
      <c r="D646" s="7"/>
      <c r="E646" s="8"/>
      <c r="F646" s="7"/>
      <c r="G646" s="7"/>
      <c r="H646" s="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5"/>
      <c r="B647" s="5"/>
      <c r="C647" s="5"/>
      <c r="D647" s="7"/>
      <c r="E647" s="8"/>
      <c r="F647" s="7"/>
      <c r="G647" s="7"/>
      <c r="H647" s="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5"/>
      <c r="B648" s="5"/>
      <c r="C648" s="5"/>
      <c r="D648" s="7"/>
      <c r="E648" s="8"/>
      <c r="F648" s="7"/>
      <c r="G648" s="7"/>
      <c r="H648" s="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5"/>
      <c r="B649" s="5"/>
      <c r="C649" s="5"/>
      <c r="D649" s="7"/>
      <c r="E649" s="8"/>
      <c r="F649" s="7"/>
      <c r="G649" s="7"/>
      <c r="H649" s="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5"/>
      <c r="B650" s="5"/>
      <c r="C650" s="5"/>
      <c r="D650" s="7"/>
      <c r="E650" s="8"/>
      <c r="F650" s="7"/>
      <c r="G650" s="7"/>
      <c r="H650" s="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5"/>
      <c r="B651" s="5"/>
      <c r="C651" s="5"/>
      <c r="D651" s="7"/>
      <c r="E651" s="8"/>
      <c r="F651" s="7"/>
      <c r="G651" s="7"/>
      <c r="H651" s="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5"/>
      <c r="B652" s="5"/>
      <c r="C652" s="5"/>
      <c r="D652" s="7"/>
      <c r="E652" s="8"/>
      <c r="F652" s="7"/>
      <c r="G652" s="7"/>
      <c r="H652" s="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5"/>
      <c r="B653" s="5"/>
      <c r="C653" s="5"/>
      <c r="D653" s="7"/>
      <c r="E653" s="8"/>
      <c r="F653" s="7"/>
      <c r="G653" s="7"/>
      <c r="H653" s="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5"/>
      <c r="B654" s="5"/>
      <c r="C654" s="5"/>
      <c r="D654" s="7"/>
      <c r="E654" s="8"/>
      <c r="F654" s="7"/>
      <c r="G654" s="7"/>
      <c r="H654" s="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5"/>
      <c r="B655" s="5"/>
      <c r="C655" s="5"/>
      <c r="D655" s="7"/>
      <c r="E655" s="8"/>
      <c r="F655" s="7"/>
      <c r="G655" s="7"/>
      <c r="H655" s="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5"/>
      <c r="B656" s="5"/>
      <c r="C656" s="5"/>
      <c r="D656" s="7"/>
      <c r="E656" s="8"/>
      <c r="F656" s="7"/>
      <c r="G656" s="7"/>
      <c r="H656" s="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5"/>
      <c r="B657" s="5"/>
      <c r="C657" s="5"/>
      <c r="D657" s="7"/>
      <c r="E657" s="8"/>
      <c r="F657" s="7"/>
      <c r="G657" s="7"/>
      <c r="H657" s="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5"/>
      <c r="B658" s="5"/>
      <c r="C658" s="5"/>
      <c r="D658" s="7"/>
      <c r="E658" s="8"/>
      <c r="F658" s="7"/>
      <c r="G658" s="7"/>
      <c r="H658" s="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5"/>
      <c r="B659" s="5"/>
      <c r="C659" s="5"/>
      <c r="D659" s="7"/>
      <c r="E659" s="8"/>
      <c r="F659" s="7"/>
      <c r="G659" s="7"/>
      <c r="H659" s="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5"/>
      <c r="B660" s="5"/>
      <c r="C660" s="5"/>
      <c r="D660" s="7"/>
      <c r="E660" s="8"/>
      <c r="F660" s="7"/>
      <c r="G660" s="7"/>
      <c r="H660" s="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5"/>
      <c r="B661" s="5"/>
      <c r="C661" s="5"/>
      <c r="D661" s="7"/>
      <c r="E661" s="8"/>
      <c r="F661" s="7"/>
      <c r="G661" s="7"/>
      <c r="H661" s="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5"/>
      <c r="B662" s="5"/>
      <c r="C662" s="5"/>
      <c r="D662" s="7"/>
      <c r="E662" s="8"/>
      <c r="F662" s="7"/>
      <c r="G662" s="7"/>
      <c r="H662" s="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5"/>
      <c r="B663" s="5"/>
      <c r="C663" s="5"/>
      <c r="D663" s="7"/>
      <c r="E663" s="8"/>
      <c r="F663" s="7"/>
      <c r="G663" s="7"/>
      <c r="H663" s="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5"/>
      <c r="B664" s="5"/>
      <c r="C664" s="5"/>
      <c r="D664" s="7"/>
      <c r="E664" s="8"/>
      <c r="F664" s="7"/>
      <c r="G664" s="7"/>
      <c r="H664" s="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5"/>
      <c r="B665" s="5"/>
      <c r="C665" s="5"/>
      <c r="D665" s="7"/>
      <c r="E665" s="8"/>
      <c r="F665" s="7"/>
      <c r="G665" s="7"/>
      <c r="H665" s="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5"/>
      <c r="B666" s="5"/>
      <c r="C666" s="5"/>
      <c r="D666" s="7"/>
      <c r="E666" s="8"/>
      <c r="F666" s="7"/>
      <c r="G666" s="7"/>
      <c r="H666" s="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5"/>
      <c r="B667" s="5"/>
      <c r="C667" s="5"/>
      <c r="D667" s="7"/>
      <c r="E667" s="8"/>
      <c r="F667" s="7"/>
      <c r="G667" s="7"/>
      <c r="H667" s="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5"/>
      <c r="B668" s="5"/>
      <c r="C668" s="5"/>
      <c r="D668" s="7"/>
      <c r="E668" s="8"/>
      <c r="F668" s="7"/>
      <c r="G668" s="7"/>
      <c r="H668" s="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5"/>
      <c r="B669" s="5"/>
      <c r="C669" s="5"/>
      <c r="D669" s="7"/>
      <c r="E669" s="8"/>
      <c r="F669" s="7"/>
      <c r="G669" s="7"/>
      <c r="H669" s="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5"/>
      <c r="B670" s="5"/>
      <c r="C670" s="5"/>
      <c r="D670" s="7"/>
      <c r="E670" s="8"/>
      <c r="F670" s="7"/>
      <c r="G670" s="7"/>
      <c r="H670" s="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5"/>
      <c r="B671" s="5"/>
      <c r="C671" s="5"/>
      <c r="D671" s="7"/>
      <c r="E671" s="8"/>
      <c r="F671" s="7"/>
      <c r="G671" s="7"/>
      <c r="H671" s="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5"/>
      <c r="B672" s="5"/>
      <c r="C672" s="5"/>
      <c r="D672" s="7"/>
      <c r="E672" s="8"/>
      <c r="F672" s="7"/>
      <c r="G672" s="7"/>
      <c r="H672" s="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5"/>
      <c r="B673" s="5"/>
      <c r="C673" s="5"/>
      <c r="D673" s="7"/>
      <c r="E673" s="8"/>
      <c r="F673" s="7"/>
      <c r="G673" s="7"/>
      <c r="H673" s="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5"/>
      <c r="B674" s="5"/>
      <c r="C674" s="5"/>
      <c r="D674" s="7"/>
      <c r="E674" s="8"/>
      <c r="F674" s="7"/>
      <c r="G674" s="7"/>
      <c r="H674" s="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5"/>
      <c r="B675" s="5"/>
      <c r="C675" s="5"/>
      <c r="D675" s="7"/>
      <c r="E675" s="8"/>
      <c r="F675" s="7"/>
      <c r="G675" s="7"/>
      <c r="H675" s="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5"/>
      <c r="B676" s="5"/>
      <c r="C676" s="5"/>
      <c r="D676" s="7"/>
      <c r="E676" s="8"/>
      <c r="F676" s="7"/>
      <c r="G676" s="7"/>
      <c r="H676" s="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5"/>
      <c r="B677" s="5"/>
      <c r="C677" s="5"/>
      <c r="D677" s="7"/>
      <c r="E677" s="8"/>
      <c r="F677" s="7"/>
      <c r="G677" s="7"/>
      <c r="H677" s="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5"/>
      <c r="B678" s="5"/>
      <c r="C678" s="5"/>
      <c r="D678" s="7"/>
      <c r="E678" s="8"/>
      <c r="F678" s="7"/>
      <c r="G678" s="7"/>
      <c r="H678" s="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5"/>
      <c r="B679" s="5"/>
      <c r="C679" s="5"/>
      <c r="D679" s="7"/>
      <c r="E679" s="8"/>
      <c r="F679" s="7"/>
      <c r="G679" s="7"/>
      <c r="H679" s="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5"/>
      <c r="B680" s="5"/>
      <c r="C680" s="5"/>
      <c r="D680" s="7"/>
      <c r="E680" s="8"/>
      <c r="F680" s="7"/>
      <c r="G680" s="7"/>
      <c r="H680" s="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5"/>
      <c r="B681" s="5"/>
      <c r="C681" s="5"/>
      <c r="D681" s="7"/>
      <c r="E681" s="8"/>
      <c r="F681" s="7"/>
      <c r="G681" s="7"/>
      <c r="H681" s="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5"/>
      <c r="B682" s="5"/>
      <c r="C682" s="5"/>
      <c r="D682" s="7"/>
      <c r="E682" s="8"/>
      <c r="F682" s="7"/>
      <c r="G682" s="7"/>
      <c r="H682" s="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5"/>
      <c r="B683" s="5"/>
      <c r="C683" s="5"/>
      <c r="D683" s="7"/>
      <c r="E683" s="8"/>
      <c r="F683" s="7"/>
      <c r="G683" s="7"/>
      <c r="H683" s="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5"/>
      <c r="B684" s="5"/>
      <c r="C684" s="5"/>
      <c r="D684" s="7"/>
      <c r="E684" s="8"/>
      <c r="F684" s="7"/>
      <c r="G684" s="7"/>
      <c r="H684" s="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5"/>
      <c r="B685" s="5"/>
      <c r="C685" s="5"/>
      <c r="D685" s="7"/>
      <c r="E685" s="8"/>
      <c r="F685" s="7"/>
      <c r="G685" s="7"/>
      <c r="H685" s="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5"/>
      <c r="B686" s="5"/>
      <c r="C686" s="5"/>
      <c r="D686" s="7"/>
      <c r="E686" s="8"/>
      <c r="F686" s="7"/>
      <c r="G686" s="7"/>
      <c r="H686" s="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5"/>
      <c r="B687" s="5"/>
      <c r="C687" s="5"/>
      <c r="D687" s="7"/>
      <c r="E687" s="8"/>
      <c r="F687" s="7"/>
      <c r="G687" s="7"/>
      <c r="H687" s="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5"/>
      <c r="B688" s="5"/>
      <c r="C688" s="5"/>
      <c r="D688" s="7"/>
      <c r="E688" s="8"/>
      <c r="F688" s="7"/>
      <c r="G688" s="7"/>
      <c r="H688" s="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5"/>
      <c r="B689" s="5"/>
      <c r="C689" s="5"/>
      <c r="D689" s="7"/>
      <c r="E689" s="8"/>
      <c r="F689" s="7"/>
      <c r="G689" s="7"/>
      <c r="H689" s="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5"/>
      <c r="B690" s="5"/>
      <c r="C690" s="5"/>
      <c r="D690" s="7"/>
      <c r="E690" s="8"/>
      <c r="F690" s="7"/>
      <c r="G690" s="7"/>
      <c r="H690" s="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5"/>
      <c r="B691" s="5"/>
      <c r="C691" s="5"/>
      <c r="D691" s="7"/>
      <c r="E691" s="8"/>
      <c r="F691" s="7"/>
      <c r="G691" s="7"/>
      <c r="H691" s="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5"/>
      <c r="B692" s="5"/>
      <c r="C692" s="5"/>
      <c r="D692" s="7"/>
      <c r="E692" s="8"/>
      <c r="F692" s="7"/>
      <c r="G692" s="7"/>
      <c r="H692" s="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5"/>
      <c r="B693" s="5"/>
      <c r="C693" s="5"/>
      <c r="D693" s="7"/>
      <c r="E693" s="8"/>
      <c r="F693" s="7"/>
      <c r="G693" s="7"/>
      <c r="H693" s="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5"/>
      <c r="B694" s="5"/>
      <c r="C694" s="5"/>
      <c r="D694" s="7"/>
      <c r="E694" s="8"/>
      <c r="F694" s="7"/>
      <c r="G694" s="7"/>
      <c r="H694" s="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5"/>
      <c r="B695" s="5"/>
      <c r="C695" s="5"/>
      <c r="D695" s="7"/>
      <c r="E695" s="8"/>
      <c r="F695" s="7"/>
      <c r="G695" s="7"/>
      <c r="H695" s="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5"/>
      <c r="B696" s="5"/>
      <c r="C696" s="5"/>
      <c r="D696" s="7"/>
      <c r="E696" s="8"/>
      <c r="F696" s="7"/>
      <c r="G696" s="7"/>
      <c r="H696" s="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5"/>
      <c r="B697" s="5"/>
      <c r="C697" s="5"/>
      <c r="D697" s="7"/>
      <c r="E697" s="8"/>
      <c r="F697" s="7"/>
      <c r="G697" s="7"/>
      <c r="H697" s="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5"/>
      <c r="B698" s="5"/>
      <c r="C698" s="5"/>
      <c r="D698" s="7"/>
      <c r="E698" s="8"/>
      <c r="F698" s="7"/>
      <c r="G698" s="7"/>
      <c r="H698" s="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5"/>
      <c r="B699" s="5"/>
      <c r="C699" s="5"/>
      <c r="D699" s="7"/>
      <c r="E699" s="8"/>
      <c r="F699" s="7"/>
      <c r="G699" s="7"/>
      <c r="H699" s="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5"/>
      <c r="B700" s="5"/>
      <c r="C700" s="5"/>
      <c r="D700" s="7"/>
      <c r="E700" s="8"/>
      <c r="F700" s="7"/>
      <c r="G700" s="7"/>
      <c r="H700" s="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5"/>
      <c r="B701" s="5"/>
      <c r="C701" s="5"/>
      <c r="D701" s="7"/>
      <c r="E701" s="8"/>
      <c r="F701" s="7"/>
      <c r="G701" s="7"/>
      <c r="H701" s="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5"/>
      <c r="B702" s="5"/>
      <c r="C702" s="5"/>
      <c r="D702" s="7"/>
      <c r="E702" s="8"/>
      <c r="F702" s="7"/>
      <c r="G702" s="7"/>
      <c r="H702" s="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5"/>
      <c r="B703" s="5"/>
      <c r="C703" s="5"/>
      <c r="D703" s="7"/>
      <c r="E703" s="8"/>
      <c r="F703" s="7"/>
      <c r="G703" s="7"/>
      <c r="H703" s="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5"/>
      <c r="B704" s="5"/>
      <c r="C704" s="5"/>
      <c r="D704" s="7"/>
      <c r="E704" s="8"/>
      <c r="F704" s="7"/>
      <c r="G704" s="7"/>
      <c r="H704" s="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5"/>
      <c r="B705" s="5"/>
      <c r="C705" s="5"/>
      <c r="D705" s="7"/>
      <c r="E705" s="8"/>
      <c r="F705" s="7"/>
      <c r="G705" s="7"/>
      <c r="H705" s="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5"/>
      <c r="B706" s="5"/>
      <c r="C706" s="5"/>
      <c r="D706" s="7"/>
      <c r="E706" s="8"/>
      <c r="F706" s="7"/>
      <c r="G706" s="7"/>
      <c r="H706" s="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5"/>
      <c r="B707" s="5"/>
      <c r="C707" s="5"/>
      <c r="D707" s="7"/>
      <c r="E707" s="8"/>
      <c r="F707" s="7"/>
      <c r="G707" s="7"/>
      <c r="H707" s="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5"/>
      <c r="B708" s="5"/>
      <c r="C708" s="5"/>
      <c r="D708" s="7"/>
      <c r="E708" s="8"/>
      <c r="F708" s="7"/>
      <c r="G708" s="7"/>
      <c r="H708" s="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5"/>
      <c r="B709" s="5"/>
      <c r="C709" s="5"/>
      <c r="D709" s="7"/>
      <c r="E709" s="8"/>
      <c r="F709" s="7"/>
      <c r="G709" s="7"/>
      <c r="H709" s="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5"/>
      <c r="B710" s="5"/>
      <c r="C710" s="5"/>
      <c r="D710" s="7"/>
      <c r="E710" s="8"/>
      <c r="F710" s="7"/>
      <c r="G710" s="7"/>
      <c r="H710" s="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5"/>
      <c r="B711" s="5"/>
      <c r="C711" s="5"/>
      <c r="D711" s="7"/>
      <c r="E711" s="8"/>
      <c r="F711" s="7"/>
      <c r="G711" s="7"/>
      <c r="H711" s="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5"/>
      <c r="B712" s="5"/>
      <c r="C712" s="5"/>
      <c r="D712" s="7"/>
      <c r="E712" s="8"/>
      <c r="F712" s="7"/>
      <c r="G712" s="7"/>
      <c r="H712" s="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5"/>
      <c r="B713" s="5"/>
      <c r="C713" s="5"/>
      <c r="D713" s="7"/>
      <c r="E713" s="8"/>
      <c r="F713" s="7"/>
      <c r="G713" s="7"/>
      <c r="H713" s="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5"/>
      <c r="B714" s="5"/>
      <c r="C714" s="5"/>
      <c r="D714" s="7"/>
      <c r="E714" s="8"/>
      <c r="F714" s="7"/>
      <c r="G714" s="7"/>
      <c r="H714" s="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5"/>
      <c r="B715" s="5"/>
      <c r="C715" s="5"/>
      <c r="D715" s="7"/>
      <c r="E715" s="8"/>
      <c r="F715" s="7"/>
      <c r="G715" s="7"/>
      <c r="H715" s="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5"/>
      <c r="B716" s="5"/>
      <c r="C716" s="5"/>
      <c r="D716" s="7"/>
      <c r="E716" s="8"/>
      <c r="F716" s="7"/>
      <c r="G716" s="7"/>
      <c r="H716" s="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5"/>
      <c r="B717" s="5"/>
      <c r="C717" s="5"/>
      <c r="D717" s="7"/>
      <c r="E717" s="8"/>
      <c r="F717" s="7"/>
      <c r="G717" s="7"/>
      <c r="H717" s="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5"/>
      <c r="B718" s="5"/>
      <c r="C718" s="5"/>
      <c r="D718" s="7"/>
      <c r="E718" s="8"/>
      <c r="F718" s="7"/>
      <c r="G718" s="7"/>
      <c r="H718" s="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5"/>
      <c r="B719" s="5"/>
      <c r="C719" s="5"/>
      <c r="D719" s="7"/>
      <c r="E719" s="8"/>
      <c r="F719" s="7"/>
      <c r="G719" s="7"/>
      <c r="H719" s="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5"/>
      <c r="B720" s="5"/>
      <c r="C720" s="5"/>
      <c r="D720" s="7"/>
      <c r="E720" s="8"/>
      <c r="F720" s="7"/>
      <c r="G720" s="7"/>
      <c r="H720" s="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5"/>
      <c r="B721" s="5"/>
      <c r="C721" s="5"/>
      <c r="D721" s="7"/>
      <c r="E721" s="8"/>
      <c r="F721" s="7"/>
      <c r="G721" s="7"/>
      <c r="H721" s="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5"/>
      <c r="B722" s="5"/>
      <c r="C722" s="5"/>
      <c r="D722" s="7"/>
      <c r="E722" s="8"/>
      <c r="F722" s="7"/>
      <c r="G722" s="7"/>
      <c r="H722" s="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5"/>
      <c r="B723" s="5"/>
      <c r="C723" s="5"/>
      <c r="D723" s="7"/>
      <c r="E723" s="8"/>
      <c r="F723" s="7"/>
      <c r="G723" s="7"/>
      <c r="H723" s="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5"/>
      <c r="B724" s="5"/>
      <c r="C724" s="5"/>
      <c r="D724" s="7"/>
      <c r="E724" s="8"/>
      <c r="F724" s="7"/>
      <c r="G724" s="7"/>
      <c r="H724" s="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5"/>
      <c r="B725" s="5"/>
      <c r="C725" s="5"/>
      <c r="D725" s="7"/>
      <c r="E725" s="8"/>
      <c r="F725" s="7"/>
      <c r="G725" s="7"/>
      <c r="H725" s="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5"/>
      <c r="B726" s="5"/>
      <c r="C726" s="5"/>
      <c r="D726" s="7"/>
      <c r="E726" s="8"/>
      <c r="F726" s="7"/>
      <c r="G726" s="7"/>
      <c r="H726" s="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5"/>
      <c r="B727" s="5"/>
      <c r="C727" s="5"/>
      <c r="D727" s="7"/>
      <c r="E727" s="8"/>
      <c r="F727" s="7"/>
      <c r="G727" s="7"/>
      <c r="H727" s="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5"/>
      <c r="B728" s="5"/>
      <c r="C728" s="5"/>
      <c r="D728" s="7"/>
      <c r="E728" s="8"/>
      <c r="F728" s="7"/>
      <c r="G728" s="7"/>
      <c r="H728" s="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5"/>
      <c r="B729" s="5"/>
      <c r="C729" s="5"/>
      <c r="D729" s="7"/>
      <c r="E729" s="8"/>
      <c r="F729" s="7"/>
      <c r="G729" s="7"/>
      <c r="H729" s="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5"/>
      <c r="B730" s="5"/>
      <c r="C730" s="5"/>
      <c r="D730" s="7"/>
      <c r="E730" s="8"/>
      <c r="F730" s="7"/>
      <c r="G730" s="7"/>
      <c r="H730" s="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5"/>
      <c r="B731" s="5"/>
      <c r="C731" s="5"/>
      <c r="D731" s="7"/>
      <c r="E731" s="8"/>
      <c r="F731" s="7"/>
      <c r="G731" s="7"/>
      <c r="H731" s="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5"/>
      <c r="B732" s="5"/>
      <c r="C732" s="5"/>
      <c r="D732" s="7"/>
      <c r="E732" s="8"/>
      <c r="F732" s="7"/>
      <c r="G732" s="7"/>
      <c r="H732" s="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5"/>
      <c r="B733" s="5"/>
      <c r="C733" s="5"/>
      <c r="D733" s="7"/>
      <c r="E733" s="8"/>
      <c r="F733" s="7"/>
      <c r="G733" s="7"/>
      <c r="H733" s="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5"/>
      <c r="B734" s="5"/>
      <c r="C734" s="5"/>
      <c r="D734" s="7"/>
      <c r="E734" s="8"/>
      <c r="F734" s="7"/>
      <c r="G734" s="7"/>
      <c r="H734" s="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5"/>
      <c r="B735" s="5"/>
      <c r="C735" s="5"/>
      <c r="D735" s="7"/>
      <c r="E735" s="8"/>
      <c r="F735" s="7"/>
      <c r="G735" s="7"/>
      <c r="H735" s="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5"/>
      <c r="B736" s="5"/>
      <c r="C736" s="5"/>
      <c r="D736" s="7"/>
      <c r="E736" s="8"/>
      <c r="F736" s="7"/>
      <c r="G736" s="7"/>
      <c r="H736" s="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5"/>
      <c r="B737" s="5"/>
      <c r="C737" s="5"/>
      <c r="D737" s="7"/>
      <c r="E737" s="8"/>
      <c r="F737" s="7"/>
      <c r="G737" s="7"/>
      <c r="H737" s="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5"/>
      <c r="B738" s="5"/>
      <c r="C738" s="5"/>
      <c r="D738" s="7"/>
      <c r="E738" s="8"/>
      <c r="F738" s="7"/>
      <c r="G738" s="7"/>
      <c r="H738" s="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5"/>
      <c r="B739" s="5"/>
      <c r="C739" s="5"/>
      <c r="D739" s="7"/>
      <c r="E739" s="8"/>
      <c r="F739" s="7"/>
      <c r="G739" s="7"/>
      <c r="H739" s="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5"/>
      <c r="B740" s="5"/>
      <c r="C740" s="5"/>
      <c r="D740" s="7"/>
      <c r="E740" s="8"/>
      <c r="F740" s="7"/>
      <c r="G740" s="7"/>
      <c r="H740" s="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5"/>
      <c r="B741" s="5"/>
      <c r="C741" s="5"/>
      <c r="D741" s="7"/>
      <c r="E741" s="8"/>
      <c r="F741" s="7"/>
      <c r="G741" s="7"/>
      <c r="H741" s="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5"/>
      <c r="B742" s="5"/>
      <c r="C742" s="5"/>
      <c r="D742" s="7"/>
      <c r="E742" s="8"/>
      <c r="F742" s="7"/>
      <c r="G742" s="7"/>
      <c r="H742" s="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5"/>
      <c r="B743" s="5"/>
      <c r="C743" s="5"/>
      <c r="D743" s="7"/>
      <c r="E743" s="8"/>
      <c r="F743" s="7"/>
      <c r="G743" s="7"/>
      <c r="H743" s="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5"/>
      <c r="B744" s="5"/>
      <c r="C744" s="5"/>
      <c r="D744" s="7"/>
      <c r="E744" s="8"/>
      <c r="F744" s="7"/>
      <c r="G744" s="7"/>
      <c r="H744" s="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5"/>
      <c r="B745" s="5"/>
      <c r="C745" s="5"/>
      <c r="D745" s="7"/>
      <c r="E745" s="8"/>
      <c r="F745" s="7"/>
      <c r="G745" s="7"/>
      <c r="H745" s="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5"/>
      <c r="B746" s="5"/>
      <c r="C746" s="5"/>
      <c r="D746" s="7"/>
      <c r="E746" s="8"/>
      <c r="F746" s="7"/>
      <c r="G746" s="7"/>
      <c r="H746" s="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5"/>
      <c r="B747" s="5"/>
      <c r="C747" s="5"/>
      <c r="D747" s="7"/>
      <c r="E747" s="8"/>
      <c r="F747" s="7"/>
      <c r="G747" s="7"/>
      <c r="H747" s="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5"/>
      <c r="B748" s="5"/>
      <c r="C748" s="5"/>
      <c r="D748" s="7"/>
      <c r="E748" s="8"/>
      <c r="F748" s="7"/>
      <c r="G748" s="7"/>
      <c r="H748" s="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5"/>
      <c r="B749" s="5"/>
      <c r="C749" s="5"/>
      <c r="D749" s="7"/>
      <c r="E749" s="8"/>
      <c r="F749" s="7"/>
      <c r="G749" s="7"/>
      <c r="H749" s="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5"/>
      <c r="B750" s="5"/>
      <c r="C750" s="5"/>
      <c r="D750" s="7"/>
      <c r="E750" s="8"/>
      <c r="F750" s="7"/>
      <c r="G750" s="7"/>
      <c r="H750" s="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5"/>
      <c r="B751" s="5"/>
      <c r="C751" s="5"/>
      <c r="D751" s="7"/>
      <c r="E751" s="8"/>
      <c r="F751" s="7"/>
      <c r="G751" s="7"/>
      <c r="H751" s="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5"/>
      <c r="B752" s="5"/>
      <c r="C752" s="5"/>
      <c r="D752" s="7"/>
      <c r="E752" s="8"/>
      <c r="F752" s="7"/>
      <c r="G752" s="7"/>
      <c r="H752" s="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5"/>
      <c r="B753" s="5"/>
      <c r="C753" s="5"/>
      <c r="D753" s="7"/>
      <c r="E753" s="8"/>
      <c r="F753" s="7"/>
      <c r="G753" s="7"/>
      <c r="H753" s="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5"/>
      <c r="B754" s="5"/>
      <c r="C754" s="5"/>
      <c r="D754" s="7"/>
      <c r="E754" s="8"/>
      <c r="F754" s="7"/>
      <c r="G754" s="7"/>
      <c r="H754" s="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5"/>
      <c r="B755" s="5"/>
      <c r="C755" s="5"/>
      <c r="D755" s="7"/>
      <c r="E755" s="8"/>
      <c r="F755" s="7"/>
      <c r="G755" s="7"/>
      <c r="H755" s="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5"/>
      <c r="B756" s="5"/>
      <c r="C756" s="5"/>
      <c r="D756" s="7"/>
      <c r="E756" s="8"/>
      <c r="F756" s="7"/>
      <c r="G756" s="7"/>
      <c r="H756" s="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5"/>
      <c r="B757" s="5"/>
      <c r="C757" s="5"/>
      <c r="D757" s="7"/>
      <c r="E757" s="8"/>
      <c r="F757" s="7"/>
      <c r="G757" s="7"/>
      <c r="H757" s="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5"/>
      <c r="B758" s="5"/>
      <c r="C758" s="5"/>
      <c r="D758" s="7"/>
      <c r="E758" s="8"/>
      <c r="F758" s="7"/>
      <c r="G758" s="7"/>
      <c r="H758" s="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5"/>
      <c r="B759" s="5"/>
      <c r="C759" s="5"/>
      <c r="D759" s="7"/>
      <c r="E759" s="8"/>
      <c r="F759" s="7"/>
      <c r="G759" s="7"/>
      <c r="H759" s="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5"/>
      <c r="B760" s="5"/>
      <c r="C760" s="5"/>
      <c r="D760" s="7"/>
      <c r="E760" s="8"/>
      <c r="F760" s="7"/>
      <c r="G760" s="7"/>
      <c r="H760" s="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5"/>
      <c r="B761" s="5"/>
      <c r="C761" s="5"/>
      <c r="D761" s="7"/>
      <c r="E761" s="8"/>
      <c r="F761" s="7"/>
      <c r="G761" s="7"/>
      <c r="H761" s="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5"/>
      <c r="B762" s="5"/>
      <c r="C762" s="5"/>
      <c r="D762" s="7"/>
      <c r="E762" s="8"/>
      <c r="F762" s="7"/>
      <c r="G762" s="7"/>
      <c r="H762" s="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5"/>
      <c r="B763" s="5"/>
      <c r="C763" s="5"/>
      <c r="D763" s="7"/>
      <c r="E763" s="8"/>
      <c r="F763" s="7"/>
      <c r="G763" s="7"/>
      <c r="H763" s="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5"/>
      <c r="B764" s="5"/>
      <c r="C764" s="5"/>
      <c r="D764" s="7"/>
      <c r="E764" s="8"/>
      <c r="F764" s="7"/>
      <c r="G764" s="7"/>
      <c r="H764" s="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5"/>
      <c r="B765" s="5"/>
      <c r="C765" s="5"/>
      <c r="D765" s="7"/>
      <c r="E765" s="8"/>
      <c r="F765" s="7"/>
      <c r="G765" s="7"/>
      <c r="H765" s="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5"/>
      <c r="B766" s="5"/>
      <c r="C766" s="5"/>
      <c r="D766" s="7"/>
      <c r="E766" s="8"/>
      <c r="F766" s="7"/>
      <c r="G766" s="7"/>
      <c r="H766" s="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5"/>
      <c r="B767" s="5"/>
      <c r="C767" s="5"/>
      <c r="D767" s="7"/>
      <c r="E767" s="8"/>
      <c r="F767" s="7"/>
      <c r="G767" s="7"/>
      <c r="H767" s="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5"/>
      <c r="B768" s="5"/>
      <c r="C768" s="5"/>
      <c r="D768" s="7"/>
      <c r="E768" s="8"/>
      <c r="F768" s="7"/>
      <c r="G768" s="7"/>
      <c r="H768" s="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5"/>
      <c r="B769" s="5"/>
      <c r="C769" s="5"/>
      <c r="D769" s="7"/>
      <c r="E769" s="8"/>
      <c r="F769" s="7"/>
      <c r="G769" s="7"/>
      <c r="H769" s="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5"/>
      <c r="B770" s="5"/>
      <c r="C770" s="5"/>
      <c r="D770" s="7"/>
      <c r="E770" s="8"/>
      <c r="F770" s="7"/>
      <c r="G770" s="7"/>
      <c r="H770" s="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5"/>
      <c r="B771" s="5"/>
      <c r="C771" s="5"/>
      <c r="D771" s="7"/>
      <c r="E771" s="8"/>
      <c r="F771" s="7"/>
      <c r="G771" s="7"/>
      <c r="H771" s="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5"/>
      <c r="B772" s="5"/>
      <c r="C772" s="5"/>
      <c r="D772" s="7"/>
      <c r="E772" s="8"/>
      <c r="F772" s="7"/>
      <c r="G772" s="7"/>
      <c r="H772" s="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5"/>
      <c r="B773" s="5"/>
      <c r="C773" s="5"/>
      <c r="D773" s="7"/>
      <c r="E773" s="8"/>
      <c r="F773" s="7"/>
      <c r="G773" s="7"/>
      <c r="H773" s="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5"/>
      <c r="B774" s="5"/>
      <c r="C774" s="5"/>
      <c r="D774" s="7"/>
      <c r="E774" s="8"/>
      <c r="F774" s="7"/>
      <c r="G774" s="7"/>
      <c r="H774" s="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5"/>
      <c r="B775" s="5"/>
      <c r="C775" s="5"/>
      <c r="D775" s="7"/>
      <c r="E775" s="8"/>
      <c r="F775" s="7"/>
      <c r="G775" s="7"/>
      <c r="H775" s="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5"/>
      <c r="B776" s="5"/>
      <c r="C776" s="5"/>
      <c r="D776" s="7"/>
      <c r="E776" s="8"/>
      <c r="F776" s="7"/>
      <c r="G776" s="7"/>
      <c r="H776" s="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5"/>
      <c r="B777" s="5"/>
      <c r="C777" s="5"/>
      <c r="D777" s="7"/>
      <c r="E777" s="8"/>
      <c r="F777" s="7"/>
      <c r="G777" s="7"/>
      <c r="H777" s="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5"/>
      <c r="B778" s="5"/>
      <c r="C778" s="5"/>
      <c r="D778" s="7"/>
      <c r="E778" s="8"/>
      <c r="F778" s="7"/>
      <c r="G778" s="7"/>
      <c r="H778" s="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5"/>
      <c r="B779" s="5"/>
      <c r="C779" s="5"/>
      <c r="D779" s="7"/>
      <c r="E779" s="8"/>
      <c r="F779" s="7"/>
      <c r="G779" s="7"/>
      <c r="H779" s="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5"/>
      <c r="B780" s="5"/>
      <c r="C780" s="5"/>
      <c r="D780" s="7"/>
      <c r="E780" s="8"/>
      <c r="F780" s="7"/>
      <c r="G780" s="7"/>
      <c r="H780" s="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5"/>
      <c r="B781" s="5"/>
      <c r="C781" s="5"/>
      <c r="D781" s="7"/>
      <c r="E781" s="8"/>
      <c r="F781" s="7"/>
      <c r="G781" s="7"/>
      <c r="H781" s="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5"/>
      <c r="B782" s="5"/>
      <c r="C782" s="5"/>
      <c r="D782" s="7"/>
      <c r="E782" s="8"/>
      <c r="F782" s="7"/>
      <c r="G782" s="7"/>
      <c r="H782" s="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5"/>
      <c r="B783" s="5"/>
      <c r="C783" s="5"/>
      <c r="D783" s="7"/>
      <c r="E783" s="8"/>
      <c r="F783" s="7"/>
      <c r="G783" s="7"/>
      <c r="H783" s="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5"/>
      <c r="B784" s="5"/>
      <c r="C784" s="5"/>
      <c r="D784" s="7"/>
      <c r="E784" s="8"/>
      <c r="F784" s="7"/>
      <c r="G784" s="7"/>
      <c r="H784" s="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5"/>
      <c r="B785" s="5"/>
      <c r="C785" s="5"/>
      <c r="D785" s="7"/>
      <c r="E785" s="8"/>
      <c r="F785" s="7"/>
      <c r="G785" s="7"/>
      <c r="H785" s="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5"/>
      <c r="B786" s="5"/>
      <c r="C786" s="5"/>
      <c r="D786" s="7"/>
      <c r="E786" s="8"/>
      <c r="F786" s="7"/>
      <c r="G786" s="7"/>
      <c r="H786" s="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5"/>
      <c r="B787" s="5"/>
      <c r="C787" s="5"/>
      <c r="D787" s="7"/>
      <c r="E787" s="8"/>
      <c r="F787" s="7"/>
      <c r="G787" s="7"/>
      <c r="H787" s="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5"/>
      <c r="B788" s="5"/>
      <c r="C788" s="5"/>
      <c r="D788" s="7"/>
      <c r="E788" s="8"/>
      <c r="F788" s="7"/>
      <c r="G788" s="7"/>
      <c r="H788" s="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5"/>
      <c r="B789" s="5"/>
      <c r="C789" s="5"/>
      <c r="D789" s="7"/>
      <c r="E789" s="8"/>
      <c r="F789" s="7"/>
      <c r="G789" s="7"/>
      <c r="H789" s="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5"/>
      <c r="B790" s="5"/>
      <c r="C790" s="5"/>
      <c r="D790" s="7"/>
      <c r="E790" s="8"/>
      <c r="F790" s="7"/>
      <c r="G790" s="7"/>
      <c r="H790" s="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5"/>
      <c r="B791" s="5"/>
      <c r="C791" s="5"/>
      <c r="D791" s="7"/>
      <c r="E791" s="8"/>
      <c r="F791" s="7"/>
      <c r="G791" s="7"/>
      <c r="H791" s="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5"/>
      <c r="B792" s="5"/>
      <c r="C792" s="5"/>
      <c r="D792" s="7"/>
      <c r="E792" s="8"/>
      <c r="F792" s="7"/>
      <c r="G792" s="7"/>
      <c r="H792" s="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5"/>
      <c r="B793" s="5"/>
      <c r="C793" s="5"/>
      <c r="D793" s="7"/>
      <c r="E793" s="8"/>
      <c r="F793" s="7"/>
      <c r="G793" s="7"/>
      <c r="H793" s="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5"/>
      <c r="B794" s="5"/>
      <c r="C794" s="5"/>
      <c r="D794" s="7"/>
      <c r="E794" s="8"/>
      <c r="F794" s="7"/>
      <c r="G794" s="7"/>
      <c r="H794" s="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5"/>
      <c r="B795" s="5"/>
      <c r="C795" s="5"/>
      <c r="D795" s="7"/>
      <c r="E795" s="8"/>
      <c r="F795" s="7"/>
      <c r="G795" s="7"/>
      <c r="H795" s="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5"/>
      <c r="B796" s="5"/>
      <c r="C796" s="5"/>
      <c r="D796" s="7"/>
      <c r="E796" s="8"/>
      <c r="F796" s="7"/>
      <c r="G796" s="7"/>
      <c r="H796" s="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5"/>
      <c r="B797" s="5"/>
      <c r="C797" s="5"/>
      <c r="D797" s="7"/>
      <c r="E797" s="8"/>
      <c r="F797" s="7"/>
      <c r="G797" s="7"/>
      <c r="H797" s="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5"/>
      <c r="B798" s="5"/>
      <c r="C798" s="5"/>
      <c r="D798" s="7"/>
      <c r="E798" s="8"/>
      <c r="F798" s="7"/>
      <c r="G798" s="7"/>
      <c r="H798" s="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5"/>
      <c r="B799" s="5"/>
      <c r="C799" s="5"/>
      <c r="D799" s="7"/>
      <c r="E799" s="8"/>
      <c r="F799" s="7"/>
      <c r="G799" s="7"/>
      <c r="H799" s="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5"/>
      <c r="B800" s="5"/>
      <c r="C800" s="5"/>
      <c r="D800" s="7"/>
      <c r="E800" s="8"/>
      <c r="F800" s="7"/>
      <c r="G800" s="7"/>
      <c r="H800" s="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5"/>
      <c r="B801" s="5"/>
      <c r="C801" s="5"/>
      <c r="D801" s="7"/>
      <c r="E801" s="8"/>
      <c r="F801" s="7"/>
      <c r="G801" s="7"/>
      <c r="H801" s="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5"/>
      <c r="B802" s="5"/>
      <c r="C802" s="5"/>
      <c r="D802" s="7"/>
      <c r="E802" s="8"/>
      <c r="F802" s="7"/>
      <c r="G802" s="7"/>
      <c r="H802" s="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5"/>
      <c r="B803" s="5"/>
      <c r="C803" s="5"/>
      <c r="D803" s="7"/>
      <c r="E803" s="8"/>
      <c r="F803" s="7"/>
      <c r="G803" s="7"/>
      <c r="H803" s="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5"/>
      <c r="B804" s="5"/>
      <c r="C804" s="5"/>
      <c r="D804" s="7"/>
      <c r="E804" s="8"/>
      <c r="F804" s="7"/>
      <c r="G804" s="7"/>
      <c r="H804" s="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5"/>
      <c r="B805" s="5"/>
      <c r="C805" s="5"/>
      <c r="D805" s="7"/>
      <c r="E805" s="8"/>
      <c r="F805" s="7"/>
      <c r="G805" s="7"/>
      <c r="H805" s="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5"/>
      <c r="B806" s="5"/>
      <c r="C806" s="5"/>
      <c r="D806" s="7"/>
      <c r="E806" s="8"/>
      <c r="F806" s="7"/>
      <c r="G806" s="7"/>
      <c r="H806" s="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5"/>
      <c r="B807" s="5"/>
      <c r="C807" s="5"/>
      <c r="D807" s="7"/>
      <c r="E807" s="8"/>
      <c r="F807" s="7"/>
      <c r="G807" s="7"/>
      <c r="H807" s="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5"/>
      <c r="B808" s="5"/>
      <c r="C808" s="5"/>
      <c r="D808" s="7"/>
      <c r="E808" s="8"/>
      <c r="F808" s="7"/>
      <c r="G808" s="7"/>
      <c r="H808" s="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5"/>
      <c r="B809" s="5"/>
      <c r="C809" s="5"/>
      <c r="D809" s="7"/>
      <c r="E809" s="8"/>
      <c r="F809" s="7"/>
      <c r="G809" s="7"/>
      <c r="H809" s="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5"/>
      <c r="B810" s="5"/>
      <c r="C810" s="5"/>
      <c r="D810" s="7"/>
      <c r="E810" s="8"/>
      <c r="F810" s="7"/>
      <c r="G810" s="7"/>
      <c r="H810" s="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5"/>
      <c r="B811" s="5"/>
      <c r="C811" s="5"/>
      <c r="D811" s="7"/>
      <c r="E811" s="8"/>
      <c r="F811" s="7"/>
      <c r="G811" s="7"/>
      <c r="H811" s="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5"/>
      <c r="B812" s="5"/>
      <c r="C812" s="5"/>
      <c r="D812" s="7"/>
      <c r="E812" s="8"/>
      <c r="F812" s="7"/>
      <c r="G812" s="7"/>
      <c r="H812" s="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5"/>
      <c r="B813" s="5"/>
      <c r="C813" s="5"/>
      <c r="D813" s="7"/>
      <c r="E813" s="8"/>
      <c r="F813" s="7"/>
      <c r="G813" s="7"/>
      <c r="H813" s="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5"/>
      <c r="B814" s="5"/>
      <c r="C814" s="5"/>
      <c r="D814" s="7"/>
      <c r="E814" s="8"/>
      <c r="F814" s="7"/>
      <c r="G814" s="7"/>
      <c r="H814" s="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5"/>
      <c r="B815" s="5"/>
      <c r="C815" s="5"/>
      <c r="D815" s="7"/>
      <c r="E815" s="8"/>
      <c r="F815" s="7"/>
      <c r="G815" s="7"/>
      <c r="H815" s="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5"/>
      <c r="B816" s="5"/>
      <c r="C816" s="5"/>
      <c r="D816" s="7"/>
      <c r="E816" s="8"/>
      <c r="F816" s="7"/>
      <c r="G816" s="7"/>
      <c r="H816" s="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5"/>
      <c r="B817" s="5"/>
      <c r="C817" s="5"/>
      <c r="D817" s="7"/>
      <c r="E817" s="8"/>
      <c r="F817" s="7"/>
      <c r="G817" s="7"/>
      <c r="H817" s="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5"/>
      <c r="B818" s="5"/>
      <c r="C818" s="5"/>
      <c r="D818" s="7"/>
      <c r="E818" s="8"/>
      <c r="F818" s="7"/>
      <c r="G818" s="7"/>
      <c r="H818" s="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5"/>
      <c r="B819" s="5"/>
      <c r="C819" s="5"/>
      <c r="D819" s="7"/>
      <c r="E819" s="8"/>
      <c r="F819" s="7"/>
      <c r="G819" s="7"/>
      <c r="H819" s="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5"/>
      <c r="B820" s="5"/>
      <c r="C820" s="5"/>
      <c r="D820" s="7"/>
      <c r="E820" s="8"/>
      <c r="F820" s="7"/>
      <c r="G820" s="7"/>
      <c r="H820" s="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5"/>
      <c r="B821" s="5"/>
      <c r="C821" s="5"/>
      <c r="D821" s="7"/>
      <c r="E821" s="8"/>
      <c r="F821" s="7"/>
      <c r="G821" s="7"/>
      <c r="H821" s="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5"/>
      <c r="B822" s="5"/>
      <c r="C822" s="5"/>
      <c r="D822" s="7"/>
      <c r="E822" s="8"/>
      <c r="F822" s="7"/>
      <c r="G822" s="7"/>
      <c r="H822" s="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5"/>
      <c r="B823" s="5"/>
      <c r="C823" s="5"/>
      <c r="D823" s="7"/>
      <c r="E823" s="8"/>
      <c r="F823" s="7"/>
      <c r="G823" s="7"/>
      <c r="H823" s="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5"/>
      <c r="B824" s="5"/>
      <c r="C824" s="5"/>
      <c r="D824" s="7"/>
      <c r="E824" s="8"/>
      <c r="F824" s="7"/>
      <c r="G824" s="7"/>
      <c r="H824" s="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5"/>
      <c r="B825" s="5"/>
      <c r="C825" s="5"/>
      <c r="D825" s="7"/>
      <c r="E825" s="8"/>
      <c r="F825" s="7"/>
      <c r="G825" s="7"/>
      <c r="H825" s="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5"/>
      <c r="B826" s="5"/>
      <c r="C826" s="5"/>
      <c r="D826" s="7"/>
      <c r="E826" s="8"/>
      <c r="F826" s="7"/>
      <c r="G826" s="7"/>
      <c r="H826" s="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5"/>
      <c r="B827" s="5"/>
      <c r="C827" s="5"/>
      <c r="D827" s="7"/>
      <c r="E827" s="8"/>
      <c r="F827" s="7"/>
      <c r="G827" s="7"/>
      <c r="H827" s="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5"/>
      <c r="B828" s="5"/>
      <c r="C828" s="5"/>
      <c r="D828" s="7"/>
      <c r="E828" s="8"/>
      <c r="F828" s="7"/>
      <c r="G828" s="7"/>
      <c r="H828" s="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5"/>
      <c r="B829" s="5"/>
      <c r="C829" s="5"/>
      <c r="D829" s="7"/>
      <c r="E829" s="8"/>
      <c r="F829" s="7"/>
      <c r="G829" s="7"/>
      <c r="H829" s="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5"/>
      <c r="B830" s="5"/>
      <c r="C830" s="5"/>
      <c r="D830" s="7"/>
      <c r="E830" s="8"/>
      <c r="F830" s="7"/>
      <c r="G830" s="7"/>
      <c r="H830" s="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5"/>
      <c r="B831" s="5"/>
      <c r="C831" s="5"/>
      <c r="D831" s="7"/>
      <c r="E831" s="8"/>
      <c r="F831" s="7"/>
      <c r="G831" s="7"/>
      <c r="H831" s="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5"/>
      <c r="B832" s="5"/>
      <c r="C832" s="5"/>
      <c r="D832" s="7"/>
      <c r="E832" s="8"/>
      <c r="F832" s="7"/>
      <c r="G832" s="7"/>
      <c r="H832" s="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5"/>
      <c r="B833" s="5"/>
      <c r="C833" s="5"/>
      <c r="D833" s="7"/>
      <c r="E833" s="8"/>
      <c r="F833" s="7"/>
      <c r="G833" s="7"/>
      <c r="H833" s="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5"/>
      <c r="B834" s="5"/>
      <c r="C834" s="5"/>
      <c r="D834" s="7"/>
      <c r="E834" s="8"/>
      <c r="F834" s="7"/>
      <c r="G834" s="7"/>
      <c r="H834" s="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5"/>
      <c r="B835" s="5"/>
      <c r="C835" s="5"/>
      <c r="D835" s="7"/>
      <c r="E835" s="8"/>
      <c r="F835" s="7"/>
      <c r="G835" s="7"/>
      <c r="H835" s="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5"/>
      <c r="B836" s="5"/>
      <c r="C836" s="5"/>
      <c r="D836" s="7"/>
      <c r="E836" s="8"/>
      <c r="F836" s="7"/>
      <c r="G836" s="7"/>
      <c r="H836" s="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5"/>
      <c r="B837" s="5"/>
      <c r="C837" s="5"/>
      <c r="D837" s="7"/>
      <c r="E837" s="8"/>
      <c r="F837" s="7"/>
      <c r="G837" s="7"/>
      <c r="H837" s="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5"/>
      <c r="B838" s="5"/>
      <c r="C838" s="5"/>
      <c r="D838" s="7"/>
      <c r="E838" s="8"/>
      <c r="F838" s="7"/>
      <c r="G838" s="7"/>
      <c r="H838" s="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5"/>
      <c r="B839" s="5"/>
      <c r="C839" s="5"/>
      <c r="D839" s="7"/>
      <c r="E839" s="8"/>
      <c r="F839" s="7"/>
      <c r="G839" s="7"/>
      <c r="H839" s="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5"/>
      <c r="B840" s="5"/>
      <c r="C840" s="5"/>
      <c r="D840" s="7"/>
      <c r="E840" s="8"/>
      <c r="F840" s="7"/>
      <c r="G840" s="7"/>
      <c r="H840" s="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5"/>
      <c r="B841" s="5"/>
      <c r="C841" s="5"/>
      <c r="D841" s="7"/>
      <c r="E841" s="8"/>
      <c r="F841" s="7"/>
      <c r="G841" s="7"/>
      <c r="H841" s="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5"/>
      <c r="B842" s="5"/>
      <c r="C842" s="5"/>
      <c r="D842" s="7"/>
      <c r="E842" s="8"/>
      <c r="F842" s="7"/>
      <c r="G842" s="7"/>
      <c r="H842" s="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5"/>
      <c r="B843" s="5"/>
      <c r="C843" s="5"/>
      <c r="D843" s="7"/>
      <c r="E843" s="8"/>
      <c r="F843" s="7"/>
      <c r="G843" s="7"/>
      <c r="H843" s="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5"/>
      <c r="B844" s="5"/>
      <c r="C844" s="5"/>
      <c r="D844" s="7"/>
      <c r="E844" s="8"/>
      <c r="F844" s="7"/>
      <c r="G844" s="7"/>
      <c r="H844" s="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5"/>
      <c r="B845" s="5"/>
      <c r="C845" s="5"/>
      <c r="D845" s="7"/>
      <c r="E845" s="8"/>
      <c r="F845" s="7"/>
      <c r="G845" s="7"/>
      <c r="H845" s="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5"/>
      <c r="B846" s="5"/>
      <c r="C846" s="5"/>
      <c r="D846" s="7"/>
      <c r="E846" s="8"/>
      <c r="F846" s="7"/>
      <c r="G846" s="7"/>
      <c r="H846" s="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5"/>
      <c r="B847" s="5"/>
      <c r="C847" s="5"/>
      <c r="D847" s="7"/>
      <c r="E847" s="8"/>
      <c r="F847" s="7"/>
      <c r="G847" s="7"/>
      <c r="H847" s="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5"/>
      <c r="B848" s="5"/>
      <c r="C848" s="5"/>
      <c r="D848" s="7"/>
      <c r="E848" s="8"/>
      <c r="F848" s="7"/>
      <c r="G848" s="7"/>
      <c r="H848" s="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5"/>
      <c r="B849" s="5"/>
      <c r="C849" s="5"/>
      <c r="D849" s="7"/>
      <c r="E849" s="8"/>
      <c r="F849" s="7"/>
      <c r="G849" s="7"/>
      <c r="H849" s="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5"/>
      <c r="B850" s="5"/>
      <c r="C850" s="5"/>
      <c r="D850" s="7"/>
      <c r="E850" s="8"/>
      <c r="F850" s="7"/>
      <c r="G850" s="7"/>
      <c r="H850" s="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5"/>
      <c r="B851" s="5"/>
      <c r="C851" s="5"/>
      <c r="D851" s="7"/>
      <c r="E851" s="8"/>
      <c r="F851" s="7"/>
      <c r="G851" s="7"/>
      <c r="H851" s="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5"/>
      <c r="B852" s="5"/>
      <c r="C852" s="5"/>
      <c r="D852" s="7"/>
      <c r="E852" s="8"/>
      <c r="F852" s="7"/>
      <c r="G852" s="7"/>
      <c r="H852" s="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5"/>
      <c r="B853" s="5"/>
      <c r="C853" s="5"/>
      <c r="D853" s="7"/>
      <c r="E853" s="8"/>
      <c r="F853" s="7"/>
      <c r="G853" s="7"/>
      <c r="H853" s="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5"/>
      <c r="B854" s="5"/>
      <c r="C854" s="5"/>
      <c r="D854" s="7"/>
      <c r="E854" s="8"/>
      <c r="F854" s="7"/>
      <c r="G854" s="7"/>
      <c r="H854" s="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5"/>
      <c r="B855" s="5"/>
      <c r="C855" s="5"/>
      <c r="D855" s="7"/>
      <c r="E855" s="8"/>
      <c r="F855" s="7"/>
      <c r="G855" s="7"/>
      <c r="H855" s="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5"/>
      <c r="B856" s="5"/>
      <c r="C856" s="5"/>
      <c r="D856" s="7"/>
      <c r="E856" s="8"/>
      <c r="F856" s="7"/>
      <c r="G856" s="7"/>
      <c r="H856" s="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5"/>
      <c r="B857" s="5"/>
      <c r="C857" s="5"/>
      <c r="D857" s="7"/>
      <c r="E857" s="8"/>
      <c r="F857" s="7"/>
      <c r="G857" s="7"/>
      <c r="H857" s="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5"/>
      <c r="B858" s="5"/>
      <c r="C858" s="5"/>
      <c r="D858" s="7"/>
      <c r="E858" s="8"/>
      <c r="F858" s="7"/>
      <c r="G858" s="7"/>
      <c r="H858" s="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5"/>
      <c r="B859" s="5"/>
      <c r="C859" s="5"/>
      <c r="D859" s="7"/>
      <c r="E859" s="8"/>
      <c r="F859" s="7"/>
      <c r="G859" s="7"/>
      <c r="H859" s="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5"/>
      <c r="B860" s="5"/>
      <c r="C860" s="5"/>
      <c r="D860" s="7"/>
      <c r="E860" s="8"/>
      <c r="F860" s="7"/>
      <c r="G860" s="7"/>
      <c r="H860" s="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5"/>
      <c r="B861" s="5"/>
      <c r="C861" s="5"/>
      <c r="D861" s="7"/>
      <c r="E861" s="8"/>
      <c r="F861" s="7"/>
      <c r="G861" s="7"/>
      <c r="H861" s="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5"/>
      <c r="B862" s="5"/>
      <c r="C862" s="5"/>
      <c r="D862" s="7"/>
      <c r="E862" s="8"/>
      <c r="F862" s="7"/>
      <c r="G862" s="7"/>
      <c r="H862" s="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5"/>
      <c r="B863" s="5"/>
      <c r="C863" s="5"/>
      <c r="D863" s="7"/>
      <c r="E863" s="8"/>
      <c r="F863" s="7"/>
      <c r="G863" s="7"/>
      <c r="H863" s="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5"/>
      <c r="B864" s="5"/>
      <c r="C864" s="5"/>
      <c r="D864" s="7"/>
      <c r="E864" s="8"/>
      <c r="F864" s="7"/>
      <c r="G864" s="7"/>
      <c r="H864" s="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5"/>
      <c r="B865" s="5"/>
      <c r="C865" s="5"/>
      <c r="D865" s="7"/>
      <c r="E865" s="8"/>
      <c r="F865" s="7"/>
      <c r="G865" s="7"/>
      <c r="H865" s="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5"/>
      <c r="B866" s="5"/>
      <c r="C866" s="5"/>
      <c r="D866" s="7"/>
      <c r="E866" s="8"/>
      <c r="F866" s="7"/>
      <c r="G866" s="7"/>
      <c r="H866" s="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5"/>
      <c r="B867" s="5"/>
      <c r="C867" s="5"/>
      <c r="D867" s="7"/>
      <c r="E867" s="8"/>
      <c r="F867" s="7"/>
      <c r="G867" s="7"/>
      <c r="H867" s="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5"/>
      <c r="B868" s="5"/>
      <c r="C868" s="5"/>
      <c r="D868" s="7"/>
      <c r="E868" s="8"/>
      <c r="F868" s="7"/>
      <c r="G868" s="7"/>
      <c r="H868" s="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5"/>
      <c r="B869" s="5"/>
      <c r="C869" s="5"/>
      <c r="D869" s="7"/>
      <c r="E869" s="8"/>
      <c r="F869" s="7"/>
      <c r="G869" s="7"/>
      <c r="H869" s="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5"/>
      <c r="B870" s="5"/>
      <c r="C870" s="5"/>
      <c r="D870" s="7"/>
      <c r="E870" s="8"/>
      <c r="F870" s="7"/>
      <c r="G870" s="7"/>
      <c r="H870" s="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5"/>
      <c r="B871" s="5"/>
      <c r="C871" s="5"/>
      <c r="D871" s="7"/>
      <c r="E871" s="8"/>
      <c r="F871" s="7"/>
      <c r="G871" s="7"/>
      <c r="H871" s="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5"/>
      <c r="B872" s="5"/>
      <c r="C872" s="5"/>
      <c r="D872" s="7"/>
      <c r="E872" s="8"/>
      <c r="F872" s="7"/>
      <c r="G872" s="7"/>
      <c r="H872" s="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5"/>
      <c r="B873" s="5"/>
      <c r="C873" s="5"/>
      <c r="D873" s="7"/>
      <c r="E873" s="8"/>
      <c r="F873" s="7"/>
      <c r="G873" s="7"/>
      <c r="H873" s="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5"/>
      <c r="B874" s="5"/>
      <c r="C874" s="5"/>
      <c r="D874" s="7"/>
      <c r="E874" s="8"/>
      <c r="F874" s="7"/>
      <c r="G874" s="7"/>
      <c r="H874" s="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5"/>
      <c r="B875" s="5"/>
      <c r="C875" s="5"/>
      <c r="D875" s="7"/>
      <c r="E875" s="8"/>
      <c r="F875" s="7"/>
      <c r="G875" s="7"/>
      <c r="H875" s="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5"/>
      <c r="B876" s="5"/>
      <c r="C876" s="5"/>
      <c r="D876" s="7"/>
      <c r="E876" s="8"/>
      <c r="F876" s="7"/>
      <c r="G876" s="7"/>
      <c r="H876" s="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5"/>
      <c r="B877" s="5"/>
      <c r="C877" s="5"/>
      <c r="D877" s="7"/>
      <c r="E877" s="8"/>
      <c r="F877" s="7"/>
      <c r="G877" s="7"/>
      <c r="H877" s="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5"/>
      <c r="B878" s="5"/>
      <c r="C878" s="5"/>
      <c r="D878" s="7"/>
      <c r="E878" s="8"/>
      <c r="F878" s="7"/>
      <c r="G878" s="7"/>
      <c r="H878" s="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5"/>
      <c r="B879" s="5"/>
      <c r="C879" s="5"/>
      <c r="D879" s="7"/>
      <c r="E879" s="8"/>
      <c r="F879" s="7"/>
      <c r="G879" s="7"/>
      <c r="H879" s="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5"/>
      <c r="B880" s="5"/>
      <c r="C880" s="5"/>
      <c r="D880" s="7"/>
      <c r="E880" s="8"/>
      <c r="F880" s="7"/>
      <c r="G880" s="7"/>
      <c r="H880" s="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5"/>
      <c r="B881" s="5"/>
      <c r="C881" s="5"/>
      <c r="D881" s="7"/>
      <c r="E881" s="8"/>
      <c r="F881" s="7"/>
      <c r="G881" s="7"/>
      <c r="H881" s="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5"/>
      <c r="B882" s="5"/>
      <c r="C882" s="5"/>
      <c r="D882" s="7"/>
      <c r="E882" s="8"/>
      <c r="F882" s="7"/>
      <c r="G882" s="7"/>
      <c r="H882" s="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5"/>
      <c r="B883" s="5"/>
      <c r="C883" s="5"/>
      <c r="D883" s="7"/>
      <c r="E883" s="8"/>
      <c r="F883" s="7"/>
      <c r="G883" s="7"/>
      <c r="H883" s="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5"/>
      <c r="B884" s="5"/>
      <c r="C884" s="5"/>
      <c r="D884" s="7"/>
      <c r="E884" s="8"/>
      <c r="F884" s="7"/>
      <c r="G884" s="7"/>
      <c r="H884" s="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5"/>
      <c r="B885" s="5"/>
      <c r="C885" s="5"/>
      <c r="D885" s="7"/>
      <c r="E885" s="8"/>
      <c r="F885" s="7"/>
      <c r="G885" s="7"/>
      <c r="H885" s="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5"/>
      <c r="B886" s="5"/>
      <c r="C886" s="5"/>
      <c r="D886" s="7"/>
      <c r="E886" s="8"/>
      <c r="F886" s="7"/>
      <c r="G886" s="7"/>
      <c r="H886" s="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5"/>
      <c r="B887" s="5"/>
      <c r="C887" s="5"/>
      <c r="D887" s="7"/>
      <c r="E887" s="8"/>
      <c r="F887" s="7"/>
      <c r="G887" s="7"/>
      <c r="H887" s="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5"/>
      <c r="B888" s="5"/>
      <c r="C888" s="5"/>
      <c r="D888" s="7"/>
      <c r="E888" s="8"/>
      <c r="F888" s="7"/>
      <c r="G888" s="7"/>
      <c r="H888" s="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5"/>
      <c r="B889" s="5"/>
      <c r="C889" s="5"/>
      <c r="D889" s="7"/>
      <c r="E889" s="8"/>
      <c r="F889" s="7"/>
      <c r="G889" s="7"/>
      <c r="H889" s="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5"/>
      <c r="B890" s="5"/>
      <c r="C890" s="5"/>
      <c r="D890" s="7"/>
      <c r="E890" s="8"/>
      <c r="F890" s="7"/>
      <c r="G890" s="7"/>
      <c r="H890" s="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5"/>
      <c r="B891" s="5"/>
      <c r="C891" s="5"/>
      <c r="D891" s="7"/>
      <c r="E891" s="8"/>
      <c r="F891" s="7"/>
      <c r="G891" s="7"/>
      <c r="H891" s="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5"/>
      <c r="B892" s="5"/>
      <c r="C892" s="5"/>
      <c r="D892" s="7"/>
      <c r="E892" s="8"/>
      <c r="F892" s="7"/>
      <c r="G892" s="7"/>
      <c r="H892" s="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5"/>
      <c r="B893" s="5"/>
      <c r="C893" s="5"/>
      <c r="D893" s="7"/>
      <c r="E893" s="8"/>
      <c r="F893" s="7"/>
      <c r="G893" s="7"/>
      <c r="H893" s="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5"/>
      <c r="B894" s="5"/>
      <c r="C894" s="5"/>
      <c r="D894" s="7"/>
      <c r="E894" s="8"/>
      <c r="F894" s="7"/>
      <c r="G894" s="7"/>
      <c r="H894" s="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5"/>
      <c r="B895" s="5"/>
      <c r="C895" s="5"/>
      <c r="D895" s="7"/>
      <c r="E895" s="8"/>
      <c r="F895" s="7"/>
      <c r="G895" s="7"/>
      <c r="H895" s="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5"/>
      <c r="B896" s="5"/>
      <c r="C896" s="5"/>
      <c r="D896" s="7"/>
      <c r="E896" s="8"/>
      <c r="F896" s="7"/>
      <c r="G896" s="7"/>
      <c r="H896" s="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5"/>
      <c r="B897" s="5"/>
      <c r="C897" s="5"/>
      <c r="D897" s="7"/>
      <c r="E897" s="8"/>
      <c r="F897" s="7"/>
      <c r="G897" s="7"/>
      <c r="H897" s="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5"/>
      <c r="B898" s="5"/>
      <c r="C898" s="5"/>
      <c r="D898" s="7"/>
      <c r="E898" s="8"/>
      <c r="F898" s="7"/>
      <c r="G898" s="7"/>
      <c r="H898" s="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5"/>
      <c r="B899" s="5"/>
      <c r="C899" s="5"/>
      <c r="D899" s="7"/>
      <c r="E899" s="8"/>
      <c r="F899" s="7"/>
      <c r="G899" s="7"/>
      <c r="H899" s="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5"/>
      <c r="B900" s="5"/>
      <c r="C900" s="5"/>
      <c r="D900" s="7"/>
      <c r="E900" s="8"/>
      <c r="F900" s="7"/>
      <c r="G900" s="7"/>
      <c r="H900" s="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5"/>
      <c r="B901" s="5"/>
      <c r="C901" s="5"/>
      <c r="D901" s="7"/>
      <c r="E901" s="8"/>
      <c r="F901" s="7"/>
      <c r="G901" s="7"/>
      <c r="H901" s="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5"/>
      <c r="B902" s="5"/>
      <c r="C902" s="5"/>
      <c r="D902" s="7"/>
      <c r="E902" s="8"/>
      <c r="F902" s="7"/>
      <c r="G902" s="7"/>
      <c r="H902" s="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5"/>
      <c r="B903" s="5"/>
      <c r="C903" s="5"/>
      <c r="D903" s="7"/>
      <c r="E903" s="8"/>
      <c r="F903" s="7"/>
      <c r="G903" s="7"/>
      <c r="H903" s="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5"/>
      <c r="B904" s="5"/>
      <c r="C904" s="5"/>
      <c r="D904" s="7"/>
      <c r="E904" s="8"/>
      <c r="F904" s="7"/>
      <c r="G904" s="7"/>
      <c r="H904" s="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5"/>
      <c r="B905" s="5"/>
      <c r="C905" s="5"/>
      <c r="D905" s="7"/>
      <c r="E905" s="8"/>
      <c r="F905" s="7"/>
      <c r="G905" s="7"/>
      <c r="H905" s="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5"/>
      <c r="B906" s="5"/>
      <c r="C906" s="5"/>
      <c r="D906" s="7"/>
      <c r="E906" s="8"/>
      <c r="F906" s="7"/>
      <c r="G906" s="7"/>
      <c r="H906" s="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5"/>
      <c r="B907" s="5"/>
      <c r="C907" s="5"/>
      <c r="D907" s="7"/>
      <c r="E907" s="8"/>
      <c r="F907" s="7"/>
      <c r="G907" s="7"/>
      <c r="H907" s="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5"/>
      <c r="B908" s="5"/>
      <c r="C908" s="5"/>
      <c r="D908" s="7"/>
      <c r="E908" s="8"/>
      <c r="F908" s="7"/>
      <c r="G908" s="7"/>
      <c r="H908" s="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5"/>
      <c r="B909" s="5"/>
      <c r="C909" s="5"/>
      <c r="D909" s="7"/>
      <c r="E909" s="8"/>
      <c r="F909" s="7"/>
      <c r="G909" s="7"/>
      <c r="H909" s="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5"/>
      <c r="B910" s="5"/>
      <c r="C910" s="5"/>
      <c r="D910" s="7"/>
      <c r="E910" s="8"/>
      <c r="F910" s="7"/>
      <c r="G910" s="7"/>
      <c r="H910" s="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5"/>
      <c r="B911" s="5"/>
      <c r="C911" s="5"/>
      <c r="D911" s="7"/>
      <c r="E911" s="8"/>
      <c r="F911" s="7"/>
      <c r="G911" s="7"/>
      <c r="H911" s="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5"/>
      <c r="B912" s="5"/>
      <c r="C912" s="5"/>
      <c r="D912" s="7"/>
      <c r="E912" s="8"/>
      <c r="F912" s="7"/>
      <c r="G912" s="7"/>
      <c r="H912" s="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5"/>
      <c r="B913" s="5"/>
      <c r="C913" s="5"/>
      <c r="D913" s="7"/>
      <c r="E913" s="8"/>
      <c r="F913" s="7"/>
      <c r="G913" s="7"/>
      <c r="H913" s="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5"/>
      <c r="B914" s="5"/>
      <c r="C914" s="5"/>
      <c r="D914" s="7"/>
      <c r="E914" s="8"/>
      <c r="F914" s="7"/>
      <c r="G914" s="7"/>
      <c r="H914" s="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5"/>
      <c r="B915" s="5"/>
      <c r="C915" s="5"/>
      <c r="D915" s="7"/>
      <c r="E915" s="8"/>
      <c r="F915" s="7"/>
      <c r="G915" s="7"/>
      <c r="H915" s="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5"/>
      <c r="B916" s="5"/>
      <c r="C916" s="5"/>
      <c r="D916" s="7"/>
      <c r="E916" s="8"/>
      <c r="F916" s="7"/>
      <c r="G916" s="7"/>
      <c r="H916" s="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5"/>
      <c r="B917" s="5"/>
      <c r="C917" s="5"/>
      <c r="D917" s="7"/>
      <c r="E917" s="8"/>
      <c r="F917" s="7"/>
      <c r="G917" s="7"/>
      <c r="H917" s="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5"/>
      <c r="B918" s="5"/>
      <c r="C918" s="5"/>
      <c r="D918" s="7"/>
      <c r="E918" s="8"/>
      <c r="F918" s="7"/>
      <c r="G918" s="7"/>
      <c r="H918" s="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5"/>
      <c r="B919" s="5"/>
      <c r="C919" s="5"/>
      <c r="D919" s="7"/>
      <c r="E919" s="8"/>
      <c r="F919" s="7"/>
      <c r="G919" s="7"/>
      <c r="H919" s="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5"/>
      <c r="B920" s="5"/>
      <c r="C920" s="5"/>
      <c r="D920" s="7"/>
      <c r="E920" s="8"/>
      <c r="F920" s="7"/>
      <c r="G920" s="7"/>
      <c r="H920" s="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5"/>
      <c r="B921" s="5"/>
      <c r="C921" s="5"/>
      <c r="D921" s="7"/>
      <c r="E921" s="8"/>
      <c r="F921" s="7"/>
      <c r="G921" s="7"/>
      <c r="H921" s="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5"/>
      <c r="B922" s="5"/>
      <c r="C922" s="5"/>
      <c r="D922" s="7"/>
      <c r="E922" s="8"/>
      <c r="F922" s="7"/>
      <c r="G922" s="7"/>
      <c r="H922" s="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5"/>
      <c r="B923" s="5"/>
      <c r="C923" s="5"/>
      <c r="D923" s="7"/>
      <c r="E923" s="8"/>
      <c r="F923" s="7"/>
      <c r="G923" s="7"/>
      <c r="H923" s="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5"/>
      <c r="B924" s="5"/>
      <c r="C924" s="5"/>
      <c r="D924" s="7"/>
      <c r="E924" s="8"/>
      <c r="F924" s="7"/>
      <c r="G924" s="7"/>
      <c r="H924" s="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5"/>
      <c r="B925" s="5"/>
      <c r="C925" s="5"/>
      <c r="D925" s="7"/>
      <c r="E925" s="8"/>
      <c r="F925" s="7"/>
      <c r="G925" s="7"/>
      <c r="H925" s="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5"/>
      <c r="B926" s="5"/>
      <c r="C926" s="5"/>
      <c r="D926" s="7"/>
      <c r="E926" s="8"/>
      <c r="F926" s="7"/>
      <c r="G926" s="7"/>
      <c r="H926" s="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5"/>
      <c r="B927" s="5"/>
      <c r="C927" s="5"/>
      <c r="D927" s="7"/>
      <c r="E927" s="8"/>
      <c r="F927" s="7"/>
      <c r="G927" s="7"/>
      <c r="H927" s="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5"/>
      <c r="B928" s="5"/>
      <c r="C928" s="5"/>
      <c r="D928" s="7"/>
      <c r="E928" s="8"/>
      <c r="F928" s="7"/>
      <c r="G928" s="7"/>
      <c r="H928" s="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5"/>
      <c r="B929" s="5"/>
      <c r="C929" s="5"/>
      <c r="D929" s="7"/>
      <c r="E929" s="8"/>
      <c r="F929" s="7"/>
      <c r="G929" s="7"/>
      <c r="H929" s="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5"/>
      <c r="B930" s="5"/>
      <c r="C930" s="5"/>
      <c r="D930" s="7"/>
      <c r="E930" s="8"/>
      <c r="F930" s="7"/>
      <c r="G930" s="7"/>
      <c r="H930" s="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5"/>
      <c r="B931" s="5"/>
      <c r="C931" s="5"/>
      <c r="D931" s="7"/>
      <c r="E931" s="8"/>
      <c r="F931" s="7"/>
      <c r="G931" s="7"/>
      <c r="H931" s="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5"/>
      <c r="B932" s="5"/>
      <c r="C932" s="5"/>
      <c r="D932" s="7"/>
      <c r="E932" s="8"/>
      <c r="F932" s="7"/>
      <c r="G932" s="7"/>
      <c r="H932" s="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5"/>
      <c r="B933" s="5"/>
      <c r="C933" s="5"/>
      <c r="D933" s="7"/>
      <c r="E933" s="8"/>
      <c r="F933" s="7"/>
      <c r="G933" s="7"/>
      <c r="H933" s="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5"/>
      <c r="B934" s="5"/>
      <c r="C934" s="5"/>
      <c r="D934" s="7"/>
      <c r="E934" s="8"/>
      <c r="F934" s="7"/>
      <c r="G934" s="7"/>
      <c r="H934" s="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5"/>
      <c r="B935" s="5"/>
      <c r="C935" s="5"/>
      <c r="D935" s="7"/>
      <c r="E935" s="8"/>
      <c r="F935" s="7"/>
      <c r="G935" s="7"/>
      <c r="H935" s="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5"/>
      <c r="B936" s="5"/>
      <c r="C936" s="5"/>
      <c r="D936" s="7"/>
      <c r="E936" s="8"/>
      <c r="F936" s="7"/>
      <c r="G936" s="7"/>
      <c r="H936" s="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5"/>
      <c r="B937" s="5"/>
      <c r="C937" s="5"/>
      <c r="D937" s="7"/>
      <c r="E937" s="8"/>
      <c r="F937" s="7"/>
      <c r="G937" s="7"/>
      <c r="H937" s="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5"/>
      <c r="B938" s="5"/>
      <c r="C938" s="5"/>
      <c r="D938" s="7"/>
      <c r="E938" s="8"/>
      <c r="F938" s="7"/>
      <c r="G938" s="7"/>
      <c r="H938" s="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5"/>
      <c r="B939" s="5"/>
      <c r="C939" s="5"/>
      <c r="D939" s="7"/>
      <c r="E939" s="8"/>
      <c r="F939" s="7"/>
      <c r="G939" s="7"/>
      <c r="H939" s="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5"/>
      <c r="B940" s="5"/>
      <c r="C940" s="5"/>
      <c r="D940" s="7"/>
      <c r="E940" s="8"/>
      <c r="F940" s="7"/>
      <c r="G940" s="7"/>
      <c r="H940" s="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5"/>
      <c r="B941" s="5"/>
      <c r="C941" s="5"/>
      <c r="D941" s="7"/>
      <c r="E941" s="8"/>
      <c r="F941" s="7"/>
      <c r="G941" s="7"/>
      <c r="H941" s="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5"/>
      <c r="B942" s="5"/>
      <c r="C942" s="5"/>
      <c r="D942" s="7"/>
      <c r="E942" s="8"/>
      <c r="F942" s="7"/>
      <c r="G942" s="7"/>
      <c r="H942" s="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5"/>
      <c r="B943" s="5"/>
      <c r="C943" s="5"/>
      <c r="D943" s="7"/>
      <c r="E943" s="8"/>
      <c r="F943" s="7"/>
      <c r="G943" s="7"/>
      <c r="H943" s="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5"/>
      <c r="B944" s="5"/>
      <c r="C944" s="5"/>
      <c r="D944" s="7"/>
      <c r="E944" s="8"/>
      <c r="F944" s="7"/>
      <c r="G944" s="7"/>
      <c r="H944" s="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5"/>
      <c r="B945" s="5"/>
      <c r="C945" s="5"/>
      <c r="D945" s="7"/>
      <c r="E945" s="8"/>
      <c r="F945" s="7"/>
      <c r="G945" s="7"/>
      <c r="H945" s="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5"/>
      <c r="B946" s="5"/>
      <c r="C946" s="5"/>
      <c r="D946" s="7"/>
      <c r="E946" s="8"/>
      <c r="F946" s="7"/>
      <c r="G946" s="7"/>
      <c r="H946" s="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5"/>
      <c r="B947" s="5"/>
      <c r="C947" s="5"/>
      <c r="D947" s="7"/>
      <c r="E947" s="8"/>
      <c r="F947" s="7"/>
      <c r="G947" s="7"/>
      <c r="H947" s="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5"/>
      <c r="B948" s="5"/>
      <c r="C948" s="5"/>
      <c r="D948" s="7"/>
      <c r="E948" s="8"/>
      <c r="F948" s="7"/>
      <c r="G948" s="7"/>
      <c r="H948" s="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5"/>
      <c r="B949" s="5"/>
      <c r="C949" s="5"/>
      <c r="D949" s="7"/>
      <c r="E949" s="8"/>
      <c r="F949" s="7"/>
      <c r="G949" s="7"/>
      <c r="H949" s="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5"/>
      <c r="B950" s="5"/>
      <c r="C950" s="5"/>
      <c r="D950" s="7"/>
      <c r="E950" s="8"/>
      <c r="F950" s="7"/>
      <c r="G950" s="7"/>
      <c r="H950" s="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5"/>
      <c r="B951" s="5"/>
      <c r="C951" s="5"/>
      <c r="D951" s="7"/>
      <c r="E951" s="8"/>
      <c r="F951" s="7"/>
      <c r="G951" s="7"/>
      <c r="H951" s="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5"/>
      <c r="B952" s="5"/>
      <c r="C952" s="5"/>
      <c r="D952" s="7"/>
      <c r="E952" s="8"/>
      <c r="F952" s="7"/>
      <c r="G952" s="7"/>
      <c r="H952" s="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5"/>
      <c r="B953" s="5"/>
      <c r="C953" s="5"/>
      <c r="D953" s="7"/>
      <c r="E953" s="8"/>
      <c r="F953" s="7"/>
      <c r="G953" s="7"/>
      <c r="H953" s="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5"/>
      <c r="B954" s="5"/>
      <c r="C954" s="5"/>
      <c r="D954" s="7"/>
      <c r="E954" s="8"/>
      <c r="F954" s="7"/>
      <c r="G954" s="7"/>
      <c r="H954" s="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5"/>
      <c r="B955" s="5"/>
      <c r="C955" s="5"/>
      <c r="D955" s="7"/>
      <c r="E955" s="8"/>
      <c r="F955" s="7"/>
      <c r="G955" s="7"/>
      <c r="H955" s="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5"/>
      <c r="B956" s="5"/>
      <c r="C956" s="5"/>
      <c r="D956" s="7"/>
      <c r="E956" s="8"/>
      <c r="F956" s="7"/>
      <c r="G956" s="7"/>
      <c r="H956" s="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5"/>
      <c r="B957" s="5"/>
      <c r="C957" s="5"/>
      <c r="D957" s="7"/>
      <c r="E957" s="8"/>
      <c r="F957" s="7"/>
      <c r="G957" s="7"/>
      <c r="H957" s="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5"/>
      <c r="B958" s="5"/>
      <c r="C958" s="5"/>
      <c r="D958" s="7"/>
      <c r="E958" s="8"/>
      <c r="F958" s="7"/>
      <c r="G958" s="7"/>
      <c r="H958" s="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5"/>
      <c r="B959" s="5"/>
      <c r="C959" s="5"/>
      <c r="D959" s="7"/>
      <c r="E959" s="8"/>
      <c r="F959" s="7"/>
      <c r="G959" s="7"/>
      <c r="H959" s="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5"/>
      <c r="B960" s="5"/>
      <c r="C960" s="5"/>
      <c r="D960" s="7"/>
      <c r="E960" s="8"/>
      <c r="F960" s="7"/>
      <c r="G960" s="7"/>
      <c r="H960" s="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5"/>
      <c r="B961" s="5"/>
      <c r="C961" s="5"/>
      <c r="D961" s="7"/>
      <c r="E961" s="8"/>
      <c r="F961" s="7"/>
      <c r="G961" s="7"/>
      <c r="H961" s="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5"/>
      <c r="B962" s="5"/>
      <c r="C962" s="5"/>
      <c r="D962" s="7"/>
      <c r="E962" s="8"/>
      <c r="F962" s="7"/>
      <c r="G962" s="7"/>
      <c r="H962" s="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5"/>
      <c r="B963" s="5"/>
      <c r="C963" s="5"/>
      <c r="D963" s="7"/>
      <c r="E963" s="8"/>
      <c r="F963" s="7"/>
      <c r="G963" s="7"/>
      <c r="H963" s="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5"/>
      <c r="B964" s="5"/>
      <c r="C964" s="5"/>
      <c r="D964" s="7"/>
      <c r="E964" s="8"/>
      <c r="F964" s="7"/>
      <c r="G964" s="7"/>
      <c r="H964" s="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5"/>
      <c r="B965" s="5"/>
      <c r="C965" s="5"/>
      <c r="D965" s="7"/>
      <c r="E965" s="8"/>
      <c r="F965" s="7"/>
      <c r="G965" s="7"/>
      <c r="H965" s="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5"/>
      <c r="B966" s="5"/>
      <c r="C966" s="5"/>
      <c r="D966" s="7"/>
      <c r="E966" s="8"/>
      <c r="F966" s="7"/>
      <c r="G966" s="7"/>
      <c r="H966" s="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5"/>
      <c r="B967" s="5"/>
      <c r="C967" s="5"/>
      <c r="D967" s="7"/>
      <c r="E967" s="8"/>
      <c r="F967" s="7"/>
      <c r="G967" s="7"/>
      <c r="H967" s="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5"/>
      <c r="B968" s="5"/>
      <c r="C968" s="5"/>
      <c r="D968" s="7"/>
      <c r="E968" s="8"/>
      <c r="F968" s="7"/>
      <c r="G968" s="7"/>
      <c r="H968" s="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5"/>
      <c r="B969" s="5"/>
      <c r="C969" s="5"/>
      <c r="D969" s="7"/>
      <c r="E969" s="8"/>
      <c r="F969" s="7"/>
      <c r="G969" s="7"/>
      <c r="H969" s="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5"/>
      <c r="B970" s="5"/>
      <c r="C970" s="5"/>
      <c r="D970" s="7"/>
      <c r="E970" s="8"/>
      <c r="F970" s="7"/>
      <c r="G970" s="7"/>
      <c r="H970" s="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5"/>
      <c r="B971" s="5"/>
      <c r="C971" s="5"/>
      <c r="D971" s="7"/>
      <c r="E971" s="8"/>
      <c r="F971" s="7"/>
      <c r="G971" s="7"/>
      <c r="H971" s="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5"/>
      <c r="B972" s="5"/>
      <c r="C972" s="5"/>
      <c r="D972" s="7"/>
      <c r="E972" s="8"/>
      <c r="F972" s="7"/>
      <c r="G972" s="7"/>
      <c r="H972" s="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5"/>
      <c r="B973" s="5"/>
      <c r="C973" s="5"/>
      <c r="D973" s="7"/>
      <c r="E973" s="8"/>
      <c r="F973" s="7"/>
      <c r="G973" s="7"/>
      <c r="H973" s="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5"/>
      <c r="B974" s="5"/>
      <c r="C974" s="5"/>
      <c r="D974" s="7"/>
      <c r="E974" s="8"/>
      <c r="F974" s="7"/>
      <c r="G974" s="7"/>
      <c r="H974" s="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5"/>
      <c r="B975" s="5"/>
      <c r="C975" s="5"/>
      <c r="D975" s="7"/>
      <c r="E975" s="8"/>
      <c r="F975" s="7"/>
      <c r="G975" s="7"/>
      <c r="H975" s="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5"/>
      <c r="B976" s="5"/>
      <c r="C976" s="5"/>
      <c r="D976" s="7"/>
      <c r="E976" s="8"/>
      <c r="F976" s="7"/>
      <c r="G976" s="7"/>
      <c r="H976" s="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5"/>
      <c r="B977" s="5"/>
      <c r="C977" s="5"/>
      <c r="D977" s="7"/>
      <c r="E977" s="8"/>
      <c r="F977" s="7"/>
      <c r="G977" s="7"/>
      <c r="H977" s="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5"/>
      <c r="B978" s="5"/>
      <c r="C978" s="5"/>
      <c r="D978" s="7"/>
      <c r="E978" s="8"/>
      <c r="F978" s="7"/>
      <c r="G978" s="7"/>
      <c r="H978" s="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5"/>
      <c r="B979" s="5"/>
      <c r="C979" s="5"/>
      <c r="D979" s="7"/>
      <c r="E979" s="8"/>
      <c r="F979" s="7"/>
      <c r="G979" s="7"/>
      <c r="H979" s="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5"/>
      <c r="B980" s="5"/>
      <c r="C980" s="5"/>
      <c r="D980" s="7"/>
      <c r="E980" s="8"/>
      <c r="F980" s="7"/>
      <c r="G980" s="7"/>
      <c r="H980" s="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5"/>
      <c r="B981" s="5"/>
      <c r="C981" s="5"/>
      <c r="D981" s="7"/>
      <c r="E981" s="8"/>
      <c r="F981" s="7"/>
      <c r="G981" s="7"/>
      <c r="H981" s="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5"/>
      <c r="B982" s="5"/>
      <c r="C982" s="5"/>
      <c r="D982" s="7"/>
      <c r="E982" s="8"/>
      <c r="F982" s="7"/>
      <c r="G982" s="7"/>
      <c r="H982" s="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5"/>
      <c r="B983" s="5"/>
      <c r="C983" s="5"/>
      <c r="D983" s="7"/>
      <c r="E983" s="8"/>
      <c r="F983" s="7"/>
      <c r="G983" s="7"/>
      <c r="H983" s="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5"/>
      <c r="B984" s="5"/>
      <c r="C984" s="5"/>
      <c r="D984" s="7"/>
      <c r="E984" s="8"/>
      <c r="F984" s="7"/>
      <c r="G984" s="7"/>
      <c r="H984" s="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5"/>
      <c r="B985" s="5"/>
      <c r="C985" s="5"/>
      <c r="D985" s="7"/>
      <c r="E985" s="8"/>
      <c r="F985" s="7"/>
      <c r="G985" s="7"/>
      <c r="H985" s="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5"/>
      <c r="B986" s="5"/>
      <c r="C986" s="5"/>
      <c r="D986" s="7"/>
      <c r="E986" s="8"/>
      <c r="F986" s="7"/>
      <c r="G986" s="7"/>
      <c r="H986" s="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5"/>
      <c r="B987" s="5"/>
      <c r="C987" s="5"/>
      <c r="D987" s="7"/>
      <c r="E987" s="8"/>
      <c r="F987" s="7"/>
      <c r="G987" s="7"/>
      <c r="H987" s="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5"/>
      <c r="B988" s="5"/>
      <c r="C988" s="5"/>
      <c r="D988" s="7"/>
      <c r="E988" s="8"/>
      <c r="F988" s="7"/>
      <c r="G988" s="7"/>
      <c r="H988" s="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5"/>
      <c r="B989" s="5"/>
      <c r="C989" s="5"/>
      <c r="D989" s="7"/>
      <c r="E989" s="8"/>
      <c r="F989" s="7"/>
      <c r="G989" s="7"/>
      <c r="H989" s="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5"/>
      <c r="B990" s="5"/>
      <c r="C990" s="5"/>
      <c r="D990" s="7"/>
      <c r="E990" s="8"/>
      <c r="F990" s="7"/>
      <c r="G990" s="7"/>
      <c r="H990" s="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5"/>
      <c r="B991" s="5"/>
      <c r="C991" s="5"/>
      <c r="D991" s="7"/>
      <c r="E991" s="8"/>
      <c r="F991" s="7"/>
      <c r="G991" s="7"/>
      <c r="H991" s="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5"/>
      <c r="B992" s="5"/>
      <c r="C992" s="5"/>
      <c r="D992" s="7"/>
      <c r="E992" s="8"/>
      <c r="F992" s="7"/>
      <c r="G992" s="7"/>
      <c r="H992" s="7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5"/>
      <c r="B993" s="5"/>
      <c r="C993" s="5"/>
      <c r="D993" s="7"/>
      <c r="E993" s="8"/>
      <c r="F993" s="7"/>
      <c r="G993" s="7"/>
      <c r="H993" s="7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5"/>
      <c r="B994" s="5"/>
      <c r="C994" s="5"/>
      <c r="D994" s="7"/>
      <c r="E994" s="8"/>
      <c r="F994" s="7"/>
      <c r="G994" s="7"/>
      <c r="H994" s="7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5"/>
      <c r="B995" s="5"/>
      <c r="C995" s="5"/>
      <c r="D995" s="7"/>
      <c r="E995" s="8"/>
      <c r="F995" s="7"/>
      <c r="G995" s="7"/>
      <c r="H995" s="7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5"/>
      <c r="B996" s="5"/>
      <c r="C996" s="5"/>
      <c r="D996" s="7"/>
      <c r="E996" s="8"/>
      <c r="F996" s="7"/>
      <c r="G996" s="7"/>
      <c r="H996" s="7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5"/>
      <c r="B997" s="5"/>
      <c r="C997" s="5"/>
      <c r="D997" s="7"/>
      <c r="E997" s="8"/>
      <c r="F997" s="7"/>
      <c r="G997" s="7"/>
      <c r="H997" s="7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5"/>
      <c r="B998" s="5"/>
      <c r="C998" s="5"/>
      <c r="D998" s="7"/>
      <c r="E998" s="8"/>
      <c r="F998" s="7"/>
      <c r="G998" s="7"/>
      <c r="H998" s="7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5"/>
      <c r="B999" s="5"/>
      <c r="C999" s="5"/>
      <c r="D999" s="7"/>
      <c r="E999" s="8"/>
      <c r="F999" s="7"/>
      <c r="G999" s="7"/>
      <c r="H999" s="7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5"/>
      <c r="B1000" s="5"/>
      <c r="C1000" s="5"/>
      <c r="D1000" s="7"/>
      <c r="E1000" s="8"/>
      <c r="F1000" s="7"/>
      <c r="G1000" s="7"/>
      <c r="H1000" s="7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display="FE-01" location="'FE-01'!A1" ref="F11"/>
    <hyperlink display="FE-01" location="'FE-01'!A1" ref="F12"/>
    <hyperlink display="FE-01" location="'FE-01'!A1" ref="F13"/>
    <hyperlink display="FE-02" location="'FE-02'!A1" ref="F14"/>
    <hyperlink display="FE-02" location="'FE-02'!A1" ref="F15"/>
    <hyperlink display="FE-02" location="'FE-02'!A1" ref="F16"/>
    <hyperlink display="FE-02" location="'FE-02'!A1" ref="F17"/>
    <hyperlink display="FE-03" location="'FE-03'!A1" ref="F18"/>
    <hyperlink display="FE-03" location="'FE-03'!A1" ref="F19"/>
    <hyperlink display="FE-04" location="'FE-04'!A1" ref="F20"/>
    <hyperlink display="FE-04" location="'FE-04'!A1" ref="F21"/>
    <hyperlink display="FE-04" location="'FE-04'!A1" ref="F22"/>
    <hyperlink display="FE-04" location="'FE-04'!A1" ref="F23"/>
    <hyperlink display="FE-05" location="'FE-05'!A1" ref="F24"/>
    <hyperlink display="FE-05" location="'FE-05'!A1" ref="F25"/>
    <hyperlink display="FE-06" location="'FE-06'!A1" ref="F26"/>
    <hyperlink display="FE-07" location="'FE-07'!A1" ref="F27"/>
    <hyperlink display="FE-07" location="'FE-07'!A1" ref="F28"/>
    <hyperlink display="FE-07" location="'FE-07'!A1" ref="F29"/>
    <hyperlink display="FE-07" location="'FE-07'!A1" ref="F30"/>
    <hyperlink display="FE-07" location="'FE-07'!A1" ref="F31"/>
    <hyperlink display="FE-08" location="'FE-08'!A1" ref="F32"/>
    <hyperlink display="FE-08" location="'FE-08'!A1" ref="F33"/>
    <hyperlink display="FE-09" location="'FE-09'!A1" ref="F34"/>
    <hyperlink display="FE-10" location="'FE-10'!A1" ref="F35"/>
    <hyperlink display="FE-10" location="'FE-10'!A1" ref="F36"/>
    <hyperlink display="FE-10" location="'FE-10'!A1" ref="F37"/>
    <hyperlink display="FE-10" location="'FE-10'!A1" ref="F38"/>
    <hyperlink display="FE-11" location="'FE-11'!A1" ref="F39"/>
    <hyperlink display="FE-11" location="'FE-11'!A1" ref="F40"/>
    <hyperlink display="FE-11" location="'FE-11'!A1" ref="F41"/>
    <hyperlink display="FE-11" location="'FE-11'!A1" ref="F42"/>
    <hyperlink display="FE-11" location="'FE-11'!A1" ref="F43"/>
    <hyperlink display="FE-12" location="'FE-12'!A1" ref="F44"/>
    <hyperlink display="FE-13" location="'FE-13'!A1" ref="F45"/>
    <hyperlink display="FE-13" location="'FE-13'!A1" ref="F46"/>
    <hyperlink display="FE-13" location="'FE-13'!A1" ref="F47"/>
    <hyperlink display="FE-14" location="'FE-14'!A1" ref="F48"/>
    <hyperlink display="FE-15" location="'FE-15'!A1" ref="F49"/>
    <hyperlink display="FE-16" location="'FE-16'!A1" ref="F50"/>
    <hyperlink display="FE-17" location="'FE-17'!A1" ref="F51"/>
    <hyperlink display="FE-17" location="'FE-17'!A1" ref="F52"/>
    <hyperlink display="FE-18" location="'FE-18'!A1" ref="F53"/>
    <hyperlink display="FE-18" location="'FE-18'!A1" ref="F54"/>
    <hyperlink display="FE-19" location="'FE-19'!A1" ref="F55"/>
    <hyperlink display="FE-19" location="'FE-19'!A1" ref="F56"/>
    <hyperlink display="FE-19" location="'FE-19'!A1" ref="F57"/>
    <hyperlink display="FE-19" location="'FE-19'!A1" ref="F58"/>
    <hyperlink display="FE-19" location="'FE-19'!A1" ref="F59"/>
    <hyperlink display="FE-19" location="'FE-19'!A1" ref="F60"/>
    <hyperlink display="FE-20" location="'FE-20'!A1" ref="F61"/>
    <hyperlink display="FE-21" location="'FE-21'!A1" ref="F62"/>
    <hyperlink display="FE-21" location="'FE-21'!A1" ref="F63"/>
    <hyperlink display="FE-22" location="'FE-22'!A1" ref="F64"/>
    <hyperlink display="FE-23" location="'FE-23'!A1" ref="F65"/>
    <hyperlink display="FE-23" location="'FE-23'!A1" ref="F66"/>
    <hyperlink display="FE-23" location="'FE-23'!A1" ref="F67"/>
    <hyperlink display="FE-24" location="'FE-24'!A1" ref="F68"/>
    <hyperlink display="FE-24" location="'FE-24'!A1" ref="F69"/>
    <hyperlink display="FE-24" location="'FE-24'!A1" ref="F70"/>
    <hyperlink display="FE-24" location="'FE-24'!A1" ref="F71"/>
    <hyperlink display="FE-25" location="'FE-25'!A1" ref="F72"/>
    <hyperlink display="FE-25" location="'FE-25'!A1" ref="F73"/>
    <hyperlink display="FE-25" location="'FE-25'!A1" ref="F74"/>
    <hyperlink display="FE-26" location="'FE-26'!A1" ref="F75"/>
    <hyperlink display="FE-26" location="'FE-26'!A1" ref="F76"/>
    <hyperlink display="FE-26" location="'FE-26'!A1" ref="F77"/>
    <hyperlink display="FE-26" location="'FE-26'!A1" ref="F78"/>
    <hyperlink display="FE-27" location="'FE-27'!A1" ref="F79"/>
    <hyperlink display="FE-27" location="'FE-27'!A1" ref="F80"/>
    <hyperlink display="FE-28" location="'FE-28'!A1" ref="F81"/>
    <hyperlink display="FE-28" location="'FE-28'!A1" ref="F82"/>
    <hyperlink display="FE-28" location="'FE-28'!A1" ref="F83"/>
    <hyperlink display="FE-28" location="'FE-28'!A1" ref="F84"/>
    <hyperlink display="FE-28" location="'FE-28'!A1" ref="F85"/>
    <hyperlink display="FE-28" location="'FE-28'!A1" ref="F86"/>
    <hyperlink display="FE-28" location="'FE-28'!A1" ref="F87"/>
    <hyperlink display="FE-28" location="'FE-28'!A1" ref="F88"/>
    <hyperlink display="FE-28" location="'FE-28'!A1" ref="F89"/>
    <hyperlink display="FE-28" location="'FE-28'!A1" ref="F90"/>
    <hyperlink display="FE-28" location="'FE-28'!A1" ref="F91"/>
    <hyperlink display="FE-28" location="'FE-28'!A1" ref="F92"/>
    <hyperlink display="FE-29" location="'FE-29'!A1" ref="F93"/>
    <hyperlink display="FE-29" location="'FE-29'!A1" ref="F94"/>
    <hyperlink display="FE-29" location="'FE-29'!A1" ref="F95"/>
    <hyperlink display="FE-29" location="'FE-29'!A1" ref="F96"/>
    <hyperlink display="FE-29" location="'FE-29'!A1" ref="F97"/>
    <hyperlink display="FE-30" location="'FE-30'!A1" ref="F98"/>
    <hyperlink display="FE-30" location="'FE-30'!A1" ref="F99"/>
    <hyperlink display="FE-30" location="'FE-30'!A1" ref="F100"/>
    <hyperlink display="FE-31" location="'FE-31'!A1" ref="F101"/>
    <hyperlink display="FE-32" location="'FE-32'!A1" ref="F102"/>
    <hyperlink display="FE-32" location="'FE-32'!A1" ref="F103"/>
    <hyperlink display="FE-33" location="'FE-33'!A1" ref="F104"/>
    <hyperlink display="FE-33" location="'FE-33'!A1" ref="F105"/>
    <hyperlink display="FE-33" location="'FE-33'!A1" ref="F106"/>
    <hyperlink display="FE-34" location="'FE-34'!A1" ref="F107"/>
    <hyperlink display="FE-34" location="'FE-34'!A1" ref="F108"/>
    <hyperlink display="FE-34" location="'FE-34'!A1" ref="F109"/>
    <hyperlink display="FE-35" location="'FE-35'!A1" ref="F110"/>
    <hyperlink display="FE-35" location="'FE-35'!A1" ref="F111"/>
    <hyperlink display="FE-35" location="'FE-35'!A1" ref="F112"/>
    <hyperlink display="FE-36" location="'FE-36'!A1" ref="F113"/>
    <hyperlink display="FE-36" location="'FE-36'!A1" ref="F114"/>
    <hyperlink display="FE-36" location="'FE-36'!A1" ref="F115"/>
    <hyperlink display="FE-36" location="'FE-36'!A1" ref="F116"/>
    <hyperlink display="FE-37" location="'FE-37'!A1" ref="F117"/>
    <hyperlink display="FE-37" location="'FE-37'!A1" ref="F118"/>
    <hyperlink display="FE-37" location="'FE-37'!A1" ref="F119"/>
    <hyperlink display="FE-37" location="'FE-37'!A1" ref="F120"/>
    <hyperlink display="FE-38" location="'FE-38'!A1" ref="F121"/>
    <hyperlink display="FE-38" location="'FE-38'!A1" ref="F122"/>
    <hyperlink display="FE-39" location="'FE-39'!A1" ref="F123"/>
    <hyperlink display="FE-39" location="'FE-39'!A1" ref="F124"/>
    <hyperlink display="FE-40" location="'FE-40'!A1" ref="F125"/>
    <hyperlink display="FE-40" location="'FE-40'!A1" ref="F126"/>
    <hyperlink display="FE-41" location="'FE-41'!A1" ref="F127"/>
    <hyperlink display="FE-41" location="'FE-41'!A1" ref="F128"/>
    <hyperlink display="FE-42" location="'FE-42'!A1" ref="F129"/>
    <hyperlink display="FE-42" location="'FE-42'!A1" ref="F130"/>
    <hyperlink display="FE-42" location="'FE-42'!A1" ref="F131"/>
    <hyperlink display="FE-42" location="'FE-42'!A1" ref="F132"/>
    <hyperlink display="FE-43" location="'FE-43'!A1" ref="F133"/>
    <hyperlink display="FE-43" location="'FE-43'!A1" ref="F134"/>
    <hyperlink display="FE-43" location="'FE-43'!A1" ref="F135"/>
    <hyperlink display="FE-44" location="'FE-44'!A1" ref="F136"/>
    <hyperlink display="FE-44" location="'FE-44'!A1" ref="F137"/>
    <hyperlink display="FE-44" location="'FE-44'!A1" ref="F138"/>
    <hyperlink display="FE-44" location="'FE-44'!A1" ref="F139"/>
    <hyperlink display="FE-45" location="'FE-45'!A1" ref="F140"/>
    <hyperlink display="FE-45" location="'FE-45'!A1" ref="F141"/>
    <hyperlink display="FE-45" location="'FE-45'!A1" ref="F142"/>
    <hyperlink display="FE-45" location="'FE-45'!A1" ref="F143"/>
    <hyperlink display="FE-46" location="'FE-46'!A1" ref="F144"/>
    <hyperlink display="FE-46" location="'FE-46'!A1" ref="F145"/>
    <hyperlink display="FE-46" location="'FE-46'!A1" ref="F146"/>
    <hyperlink display="FE-47" location="'FE-47'!A1" ref="F147"/>
    <hyperlink display="FE-47" location="'FE-47'!A1" ref="F148"/>
    <hyperlink display="FE-47" location="'FE-47'!A1" ref="F149"/>
    <hyperlink display="FE-47" location="'FE-47'!A1" ref="F150"/>
    <hyperlink display="FE-47" location="'FE-47'!A1" ref="F151"/>
    <hyperlink display="FE-47" location="'FE-47'!A1" ref="F152"/>
    <hyperlink display="FE-48" location="'FE-48'!A1" ref="F153"/>
    <hyperlink display="FE-48" location="'FE-48'!A1" ref="F154"/>
    <hyperlink display="FE-48" location="'FE-48'!A1" ref="F155"/>
    <hyperlink display="FE-48" location="'FE-48'!A1" ref="F156"/>
    <hyperlink display="FE-48" location="'FE-48'!A1" ref="F157"/>
    <hyperlink display="FE-49" location="'FE-49'!A1" ref="F158"/>
    <hyperlink display="FE-49" location="'FE-49'!A1" ref="F159"/>
    <hyperlink display="FE-49" location="'FE-49'!A1" ref="F160"/>
    <hyperlink display="FE-49" location="'FE-49'!A1" ref="F161"/>
    <hyperlink display="FE-50" location="'FE-50'!A1" ref="F162"/>
    <hyperlink display="FE-50" location="'FE-50'!A1" ref="F163"/>
    <hyperlink display="FE-50" location="'FE-50'!A1" ref="F164"/>
    <hyperlink display="FE-51" location="'FE-51'!A1" ref="F165"/>
    <hyperlink display="FE-52" location="'FE-52'!A1" ref="F166"/>
    <hyperlink display="FE-52" location="'FE-52'!A1" ref="F167"/>
    <hyperlink display="FE-52" location="'FE-52'!A1" ref="F168"/>
    <hyperlink display="FE-53" location="'FE-53'!A1" ref="F169"/>
    <hyperlink display="FE-53" location="'FE-53'!A1" ref="F170"/>
    <hyperlink display="FE-53" location="'FE-53'!A1" ref="F171"/>
    <hyperlink display="FE-54" location="'FE-54'!A1" ref="F172"/>
    <hyperlink display="FE-54" location="'FE-54'!A1" ref="F173"/>
    <hyperlink display="FE-54" location="'FE-54'!A1" ref="F174"/>
    <hyperlink display="FE-54" location="'FE-54'!A1" ref="F175"/>
    <hyperlink display="FE-54" location="'FE-54'!A1" ref="F176"/>
    <hyperlink display="FE-55" location="'FE-55'!A1" ref="F177"/>
    <hyperlink display="FE-55" location="'FE-55'!A1" ref="F178"/>
    <hyperlink display="FE-55" location="'FE-55'!A1" ref="F179"/>
    <hyperlink display="FE-55" location="'FE-55'!A1" ref="F180"/>
    <hyperlink display="FE-55" location="'FE-55'!A1" ref="F181"/>
    <hyperlink display="FE-56" location="'FE-56'!A1" ref="F182"/>
    <hyperlink display="FE-56" location="'FE-56'!A1" ref="F183"/>
    <hyperlink display="FE-56" location="'FE-56'!A1" ref="F184"/>
    <hyperlink display="FE-56" location="'FE-56'!A1" ref="F185"/>
    <hyperlink display="FE-57" location="'FE-57'!A1" ref="F186"/>
    <hyperlink display="FE-57" location="'FE-57'!A1" ref="F187"/>
    <hyperlink display="FE-57" location="'FE-57'!A1" ref="F188"/>
    <hyperlink display="FE-57" location="'FE-57'!A1" ref="F189"/>
    <hyperlink display="FE-57" location="'FE-57'!A1" ref="F190"/>
    <hyperlink display="FE-57" location="'FE-57'!A1" ref="F191"/>
    <hyperlink display="FE-58" location="'FE-58'!A1" ref="F192"/>
    <hyperlink display="FE-58" location="'FE-58'!A1" ref="F193"/>
    <hyperlink display="FE-58" location="'FE-58'!A1" ref="F194"/>
    <hyperlink display="FE-58" location="'FE-58'!A1" ref="F195"/>
    <hyperlink display="FE-58" location="'FE-58'!A1" ref="F196"/>
    <hyperlink display="FE-58" location="'FE-58'!A1" ref="F197"/>
    <hyperlink display="FE-58" location="'FE-58'!A1" ref="F198"/>
    <hyperlink display="FE-59" location="'FE-59'!A1" ref="F199"/>
    <hyperlink display="FE-59" location="'FE-59'!A1" ref="F200"/>
    <hyperlink display="FE-59" location="'FE-59'!A1" ref="F201"/>
    <hyperlink display="FE-59" location="'FE-59'!A1" ref="F202"/>
    <hyperlink display="FE-59" location="'FE-59'!A1" ref="F203"/>
    <hyperlink display="FE-60" location="'FE-60'!A1" ref="F204"/>
    <hyperlink display="FE-60" location="'FE-60'!A1" ref="F205"/>
    <hyperlink display="FE-60" location="'FE-60'!A1" ref="F206"/>
    <hyperlink display="FE-60" location="'FE-60'!A1" ref="F207"/>
    <hyperlink display="FE-61" location="'FE-61'!A1" ref="F208"/>
    <hyperlink display="FE-61" location="'FE-61'!A1" ref="F209"/>
    <hyperlink display="FE-61" location="'FE-61'!A1" ref="F210"/>
    <hyperlink display="FE-61" location="'FE-61'!A1" ref="F211"/>
    <hyperlink display="FE-61" location="'FE-61'!A1" ref="F212"/>
    <hyperlink display="FE-61" location="'FE-61'!A1" ref="F213"/>
    <hyperlink display="FE-61" location="'FE-61'!A1" ref="F214"/>
    <hyperlink display="FE-62" location="'FE-62'!A1" ref="F215"/>
    <hyperlink display="FE-62" location="'FE-62'!A1" ref="F216"/>
    <hyperlink display="FE-62" location="'FE-62'!A1" ref="F217"/>
    <hyperlink display="FE-62" location="'FE-62'!A1" ref="F218"/>
    <hyperlink display="FE-62" location="'FE-62'!A1" ref="F219"/>
    <hyperlink display="FE-62" location="'FE-62'!A1" ref="F220"/>
    <hyperlink display="FE-63" location="'FE-63'!A1" ref="F221"/>
    <hyperlink display="FE-63" location="'FE-63'!A1" ref="F222"/>
    <hyperlink display="FE-63" location="'FE-63'!A1" ref="F223"/>
    <hyperlink display="FE-64" location="'FE-64'!A1" ref="F224"/>
    <hyperlink display="FE-64" location="'FE-64'!A1" ref="F225"/>
    <hyperlink display="FE-64" location="'FE-64'!A1" ref="F226"/>
    <hyperlink display="FE-64" location="'FE-64'!A1" ref="F227"/>
    <hyperlink display="FE-64" location="'FE-64'!A1" ref="F228"/>
  </hyperlinks>
  <printOptions/>
  <pageMargins bottom="0.75" footer="0.0" header="0.0" left="0.65" right="0.65" top="0.75"/>
  <pageSetup paperSize="9" orientation="landscape"/>
  <headerFooter>
    <oddFooter>&amp;L 02ae-BM/PM/HDCV/FSOFT v2/1&amp;C Internal use&amp;R 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64.0"/>
    <col customWidth="1" min="3" max="3" width="12.14"/>
    <col customWidth="1" min="4" max="5" width="9.71"/>
    <col customWidth="1" min="6" max="8" width="5.14"/>
    <col customWidth="1" min="9" max="9" width="21.0"/>
    <col customWidth="1" min="10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10" t="s">
        <v>1</v>
      </c>
      <c r="B2" s="12"/>
      <c r="C2" s="12"/>
      <c r="D2" s="12"/>
      <c r="E2" s="12"/>
      <c r="F2" s="12"/>
      <c r="G2" s="12"/>
      <c r="H2" s="12"/>
      <c r="I2" s="1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4"/>
      <c r="B3" s="2"/>
      <c r="C3" s="2"/>
      <c r="D3" s="2"/>
      <c r="E3" s="2"/>
      <c r="F3" s="2"/>
      <c r="G3" s="2"/>
      <c r="H3" s="2"/>
      <c r="I3" s="1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1" t="s">
        <v>7</v>
      </c>
      <c r="B4" s="23" t="s">
        <v>8</v>
      </c>
      <c r="C4" s="25"/>
      <c r="D4" s="29" t="s">
        <v>12</v>
      </c>
      <c r="E4" s="25"/>
      <c r="F4" s="32" t="s">
        <v>14</v>
      </c>
      <c r="G4" s="27"/>
      <c r="H4" s="27"/>
      <c r="I4" s="2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1" t="s">
        <v>15</v>
      </c>
      <c r="B5" s="23" t="s">
        <v>16</v>
      </c>
      <c r="C5" s="25"/>
      <c r="D5" s="29" t="s">
        <v>18</v>
      </c>
      <c r="E5" s="25"/>
      <c r="F5" s="32" t="s">
        <v>19</v>
      </c>
      <c r="G5" s="27"/>
      <c r="H5" s="27"/>
      <c r="I5" s="2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7" t="s">
        <v>21</v>
      </c>
      <c r="B6" s="23" t="str">
        <f>B5&amp;"_"&amp;"UnitTest"&amp;"_"&amp;"v1.1"</f>
        <v>ALUMNECT_UnitTest_v1.1</v>
      </c>
      <c r="C6" s="25"/>
      <c r="D6" s="29" t="s">
        <v>28</v>
      </c>
      <c r="E6" s="25"/>
      <c r="F6" s="45">
        <v>46310.0</v>
      </c>
      <c r="G6" s="27"/>
      <c r="H6" s="27"/>
      <c r="I6" s="2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7" t="s">
        <v>33</v>
      </c>
      <c r="B7" s="46" t="s">
        <v>34</v>
      </c>
      <c r="C7" s="27"/>
      <c r="D7" s="27"/>
      <c r="E7" s="27"/>
      <c r="F7" s="27"/>
      <c r="G7" s="27"/>
      <c r="H7" s="27"/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9"/>
      <c r="B8" s="50"/>
      <c r="C8" s="2"/>
      <c r="D8" s="2"/>
      <c r="E8" s="2"/>
      <c r="F8" s="2"/>
      <c r="G8" s="2"/>
      <c r="H8" s="2"/>
      <c r="I8" s="1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49"/>
      <c r="B9" s="50"/>
      <c r="C9" s="2"/>
      <c r="D9" s="2"/>
      <c r="E9" s="2"/>
      <c r="F9" s="2"/>
      <c r="G9" s="2"/>
      <c r="H9" s="2"/>
      <c r="I9" s="1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52"/>
      <c r="B10" s="52"/>
      <c r="C10" s="52"/>
      <c r="D10" s="52"/>
      <c r="E10" s="52"/>
      <c r="F10" s="52"/>
      <c r="G10" s="52"/>
      <c r="H10" s="52"/>
      <c r="I10" s="5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55" t="s">
        <v>45</v>
      </c>
      <c r="B11" s="55" t="s">
        <v>49</v>
      </c>
      <c r="C11" s="58" t="s">
        <v>51</v>
      </c>
      <c r="D11" s="55" t="s">
        <v>52</v>
      </c>
      <c r="E11" s="55" t="s">
        <v>53</v>
      </c>
      <c r="F11" s="55" t="s">
        <v>54</v>
      </c>
      <c r="G11" s="55" t="s">
        <v>55</v>
      </c>
      <c r="H11" s="55" t="s">
        <v>57</v>
      </c>
      <c r="I11" s="58" t="s">
        <v>58</v>
      </c>
      <c r="J11" s="6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65">
        <v>1.0</v>
      </c>
      <c r="B12" s="71" t="s">
        <v>64</v>
      </c>
      <c r="C12" s="65">
        <f>'FE-01'!A7</f>
        <v>23</v>
      </c>
      <c r="D12" s="65">
        <f>'FE-01'!C7</f>
        <v>0</v>
      </c>
      <c r="E12" s="65">
        <f>'FE-01'!F7</f>
        <v>0</v>
      </c>
      <c r="F12" s="65">
        <f>'FE-01'!L7</f>
        <v>5</v>
      </c>
      <c r="G12" s="65"/>
      <c r="H12" s="65">
        <f>'FE-01'!N7</f>
        <v>5</v>
      </c>
      <c r="I12" s="65">
        <f>'FE-01'!O7</f>
        <v>23</v>
      </c>
      <c r="J12" s="6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65">
        <v>2.0</v>
      </c>
      <c r="B13" s="71" t="s">
        <v>92</v>
      </c>
      <c r="C13" s="65">
        <f>'FE-02'!A7</f>
        <v>14</v>
      </c>
      <c r="D13" s="65">
        <f>'FE-02'!C7</f>
        <v>0</v>
      </c>
      <c r="E13" s="65">
        <f>'FE-02'!F7</f>
        <v>0</v>
      </c>
      <c r="F13" s="65">
        <f>'FE-02'!L7</f>
        <v>4</v>
      </c>
      <c r="G13" s="65">
        <f>'FE-02'!M7</f>
        <v>10</v>
      </c>
      <c r="H13" s="65">
        <f>'FE-02'!N7</f>
        <v>0</v>
      </c>
      <c r="I13" s="65">
        <f>'FE-02'!O7</f>
        <v>14</v>
      </c>
      <c r="J13" s="6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65">
        <v>3.0</v>
      </c>
      <c r="B14" s="71" t="s">
        <v>106</v>
      </c>
      <c r="C14" s="65">
        <f>'FE-03'!A7</f>
        <v>8</v>
      </c>
      <c r="D14" s="65">
        <f>'FE-03'!C7</f>
        <v>0</v>
      </c>
      <c r="E14" s="65">
        <f>'FE-03'!F7</f>
        <v>0</v>
      </c>
      <c r="F14" s="65">
        <f>'FE-03'!L7</f>
        <v>3</v>
      </c>
      <c r="G14" s="65">
        <f>'FE-03'!M7</f>
        <v>5</v>
      </c>
      <c r="H14" s="65">
        <f>'FE-03'!N7</f>
        <v>0</v>
      </c>
      <c r="I14" s="65">
        <f>'FE-03'!O7</f>
        <v>8</v>
      </c>
      <c r="J14" s="6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65">
        <v>4.0</v>
      </c>
      <c r="B15" s="71" t="s">
        <v>121</v>
      </c>
      <c r="C15" s="65">
        <f>'FE-04'!A7</f>
        <v>24</v>
      </c>
      <c r="D15" s="65">
        <f>'FE-04'!C7</f>
        <v>0</v>
      </c>
      <c r="E15" s="65">
        <f>'FE-04'!F7</f>
        <v>0</v>
      </c>
      <c r="F15" s="65">
        <f>'FE-04'!L7</f>
        <v>4</v>
      </c>
      <c r="G15" s="65">
        <f>'FE-04'!M7</f>
        <v>14</v>
      </c>
      <c r="H15" s="65">
        <f>'FE-04'!N7</f>
        <v>6</v>
      </c>
      <c r="I15" s="65">
        <f>'FE-04'!O7</f>
        <v>24</v>
      </c>
      <c r="J15" s="6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65">
        <v>5.0</v>
      </c>
      <c r="B16" s="71" t="s">
        <v>126</v>
      </c>
      <c r="C16" s="65">
        <f>'FE-05'!A7</f>
        <v>7</v>
      </c>
      <c r="D16" s="65">
        <f>'FE-05'!C7</f>
        <v>0</v>
      </c>
      <c r="E16" s="65">
        <f>'FE-05'!F7</f>
        <v>0</v>
      </c>
      <c r="F16" s="65">
        <f>'FE-05'!L7</f>
        <v>3</v>
      </c>
      <c r="G16" s="65">
        <f>'FE-05'!M7</f>
        <v>4</v>
      </c>
      <c r="H16" s="65">
        <f>'FE-05'!N7</f>
        <v>0</v>
      </c>
      <c r="I16" s="65">
        <f>'FE-05'!O7</f>
        <v>7</v>
      </c>
      <c r="J16" s="6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65">
        <v>6.0</v>
      </c>
      <c r="B17" s="71" t="s">
        <v>132</v>
      </c>
      <c r="C17" s="65">
        <f>'FE-06'!A7</f>
        <v>4</v>
      </c>
      <c r="D17" s="65">
        <f>'FE-06'!C7</f>
        <v>0</v>
      </c>
      <c r="E17" s="65">
        <f>'FE-06'!F7</f>
        <v>0</v>
      </c>
      <c r="F17" s="65">
        <f>'FE-06'!L7</f>
        <v>2</v>
      </c>
      <c r="G17" s="65">
        <f>'FE-06'!M7</f>
        <v>1</v>
      </c>
      <c r="H17" s="65">
        <f>'FE-06'!N7</f>
        <v>1</v>
      </c>
      <c r="I17" s="65">
        <f>'FE-06'!O7</f>
        <v>4</v>
      </c>
      <c r="J17" s="6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65">
        <v>7.0</v>
      </c>
      <c r="B18" s="71" t="s">
        <v>140</v>
      </c>
      <c r="C18" s="65">
        <f>'FE-07'!A7</f>
        <v>19</v>
      </c>
      <c r="D18" s="65">
        <f>'FE-07'!C7</f>
        <v>0</v>
      </c>
      <c r="E18" s="65">
        <f>'FE-07'!F7</f>
        <v>0</v>
      </c>
      <c r="F18" s="65">
        <f>'FE-07'!L7</f>
        <v>6</v>
      </c>
      <c r="G18" s="65">
        <f>'FE-07'!M7</f>
        <v>8</v>
      </c>
      <c r="H18" s="65">
        <f>'FE-07'!N7</f>
        <v>5</v>
      </c>
      <c r="I18" s="65">
        <f>'FE-07'!O7</f>
        <v>19</v>
      </c>
      <c r="J18" s="6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65">
        <v>8.0</v>
      </c>
      <c r="B19" s="71" t="s">
        <v>146</v>
      </c>
      <c r="C19" s="65">
        <f>'FE-08'!A7</f>
        <v>11</v>
      </c>
      <c r="D19" s="65">
        <f>'FE-08'!C7</f>
        <v>0</v>
      </c>
      <c r="E19" s="65">
        <f>'FE-08'!F7</f>
        <v>0</v>
      </c>
      <c r="F19" s="65">
        <f>'FE-08'!L7</f>
        <v>9</v>
      </c>
      <c r="G19" s="65">
        <f>'FE-08'!M7</f>
        <v>0</v>
      </c>
      <c r="H19" s="65">
        <f>'FE-08'!N7</f>
        <v>2</v>
      </c>
      <c r="I19" s="65">
        <f>'FE-08'!O7</f>
        <v>11</v>
      </c>
      <c r="J19" s="6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65">
        <v>9.0</v>
      </c>
      <c r="B20" s="71" t="s">
        <v>155</v>
      </c>
      <c r="C20" s="65">
        <f>'FE-09'!A7</f>
        <v>13</v>
      </c>
      <c r="D20" s="65">
        <f>'FE-09'!C7</f>
        <v>0</v>
      </c>
      <c r="E20" s="65">
        <f>'FE-09'!F7</f>
        <v>0</v>
      </c>
      <c r="F20" s="65">
        <f>'FE-09'!L7</f>
        <v>8</v>
      </c>
      <c r="G20" s="65">
        <f>'FE-09'!M7</f>
        <v>1</v>
      </c>
      <c r="H20" s="65">
        <f>'FE-09'!N7</f>
        <v>4</v>
      </c>
      <c r="I20" s="65">
        <f>'FE-09'!O7</f>
        <v>13</v>
      </c>
      <c r="J20" s="6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65">
        <v>10.0</v>
      </c>
      <c r="B21" s="71" t="s">
        <v>164</v>
      </c>
      <c r="C21" s="65">
        <f>'FE-10'!A7</f>
        <v>17</v>
      </c>
      <c r="D21" s="65">
        <f>'FE-10'!C7</f>
        <v>0</v>
      </c>
      <c r="E21" s="65">
        <f>'FE-10'!F7</f>
        <v>0</v>
      </c>
      <c r="F21" s="65">
        <f>'FE-10'!L7</f>
        <v>5</v>
      </c>
      <c r="G21" s="65">
        <f>'FE-10'!M7</f>
        <v>11</v>
      </c>
      <c r="H21" s="65">
        <f>'FE-10'!N7</f>
        <v>1</v>
      </c>
      <c r="I21" s="65">
        <f>'FE-10'!O7</f>
        <v>17</v>
      </c>
      <c r="J21" s="6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65">
        <v>11.0</v>
      </c>
      <c r="B22" s="71" t="s">
        <v>172</v>
      </c>
      <c r="C22" s="65">
        <f>'FE-11'!A7</f>
        <v>22</v>
      </c>
      <c r="D22" s="65">
        <f>'FE-11'!C7</f>
        <v>0</v>
      </c>
      <c r="E22" s="65">
        <f>'FE-11'!F7</f>
        <v>0</v>
      </c>
      <c r="F22" s="65">
        <f>'FE-11'!L7</f>
        <v>9</v>
      </c>
      <c r="G22" s="65">
        <f>'FE-11'!M7</f>
        <v>11</v>
      </c>
      <c r="H22" s="65">
        <f>'FE-11'!N7</f>
        <v>2</v>
      </c>
      <c r="I22" s="65">
        <f>'FE-11'!O7</f>
        <v>22</v>
      </c>
      <c r="J22" s="6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65">
        <v>12.0</v>
      </c>
      <c r="B23" s="71" t="s">
        <v>182</v>
      </c>
      <c r="C23" s="65">
        <f>'FE-12'!A7</f>
        <v>9</v>
      </c>
      <c r="D23" s="65">
        <f>'FE-12'!C7</f>
        <v>0</v>
      </c>
      <c r="E23" s="65">
        <f>'FE-12'!F7</f>
        <v>0</v>
      </c>
      <c r="F23" s="65">
        <f>'FE-12'!L7</f>
        <v>5</v>
      </c>
      <c r="G23" s="65">
        <f>'FE-12'!M7</f>
        <v>0</v>
      </c>
      <c r="H23" s="65">
        <f>'FE-12'!N7</f>
        <v>4</v>
      </c>
      <c r="I23" s="65">
        <f>'FE-12'!O7</f>
        <v>9</v>
      </c>
      <c r="J23" s="6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65">
        <v>13.0</v>
      </c>
      <c r="B24" s="71" t="s">
        <v>189</v>
      </c>
      <c r="C24" s="65">
        <f>'FE-13'!A7</f>
        <v>12</v>
      </c>
      <c r="D24" s="65">
        <f>'FE-13'!C7</f>
        <v>0</v>
      </c>
      <c r="E24" s="65">
        <f>'FE-13'!F7</f>
        <v>0</v>
      </c>
      <c r="F24" s="65">
        <f>'FE-13'!L7</f>
        <v>7</v>
      </c>
      <c r="G24" s="65">
        <f>'FE-13'!M7</f>
        <v>4</v>
      </c>
      <c r="H24" s="65">
        <f>'FE-13'!N7</f>
        <v>1</v>
      </c>
      <c r="I24" s="65">
        <f>'FE-13'!O7</f>
        <v>12</v>
      </c>
      <c r="J24" s="6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65">
        <v>14.0</v>
      </c>
      <c r="B25" s="71" t="s">
        <v>201</v>
      </c>
      <c r="C25" s="65">
        <f>'FE-14'!A7</f>
        <v>4</v>
      </c>
      <c r="D25" s="65">
        <f>'FE-14'!C7</f>
        <v>0</v>
      </c>
      <c r="E25" s="65">
        <f>'FE-14'!F7</f>
        <v>0</v>
      </c>
      <c r="F25" s="65">
        <f>'FE-14'!L7</f>
        <v>3</v>
      </c>
      <c r="G25" s="65">
        <f>'FE-14'!M7</f>
        <v>0</v>
      </c>
      <c r="H25" s="65">
        <f>'FE-14'!N7</f>
        <v>1</v>
      </c>
      <c r="I25" s="65">
        <f>'FE-14'!O7</f>
        <v>4</v>
      </c>
      <c r="J25" s="6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65">
        <v>15.0</v>
      </c>
      <c r="B26" s="71" t="s">
        <v>213</v>
      </c>
      <c r="C26" s="65">
        <f>'FE-15'!A7</f>
        <v>3</v>
      </c>
      <c r="D26" s="65">
        <f>'FE-15'!C7</f>
        <v>0</v>
      </c>
      <c r="E26" s="65">
        <f>'FE-15'!F7</f>
        <v>0</v>
      </c>
      <c r="F26" s="65">
        <f>'FE-15'!L7</f>
        <v>2</v>
      </c>
      <c r="G26" s="65">
        <f>'FE-15'!M7</f>
        <v>1</v>
      </c>
      <c r="H26" s="65">
        <f>'FE-15'!N7</f>
        <v>0</v>
      </c>
      <c r="I26" s="65">
        <f>'FE-15'!O7</f>
        <v>3</v>
      </c>
      <c r="J26" s="6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65">
        <v>16.0</v>
      </c>
      <c r="B27" s="71" t="s">
        <v>222</v>
      </c>
      <c r="C27" s="65">
        <f>'FE-16'!A7</f>
        <v>4</v>
      </c>
      <c r="D27" s="65">
        <f>'FE-16'!C7</f>
        <v>0</v>
      </c>
      <c r="E27" s="65">
        <f>'FE-16'!F7</f>
        <v>0</v>
      </c>
      <c r="F27" s="65">
        <f>'FE-16'!L7</f>
        <v>2</v>
      </c>
      <c r="G27" s="65">
        <f>'FE-16'!M7</f>
        <v>2</v>
      </c>
      <c r="H27" s="65">
        <f>'FE-16'!N7</f>
        <v>0</v>
      </c>
      <c r="I27" s="65">
        <f>'FE-16'!O7</f>
        <v>4</v>
      </c>
      <c r="J27" s="6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65">
        <v>17.0</v>
      </c>
      <c r="B28" s="71" t="s">
        <v>233</v>
      </c>
      <c r="C28" s="65">
        <f>'FE-17'!A7</f>
        <v>12</v>
      </c>
      <c r="D28" s="65">
        <f>'FE-17'!C7</f>
        <v>0</v>
      </c>
      <c r="E28" s="65">
        <f>'FE-17'!F7</f>
        <v>0</v>
      </c>
      <c r="F28" s="65">
        <f>'FE-17'!L7</f>
        <v>5</v>
      </c>
      <c r="G28" s="65">
        <f>'FE-17'!M7</f>
        <v>5</v>
      </c>
      <c r="H28" s="65">
        <f>'FE-17'!N7</f>
        <v>2</v>
      </c>
      <c r="I28" s="65">
        <f>'FE-17'!O7</f>
        <v>12</v>
      </c>
      <c r="J28" s="6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65">
        <v>18.0</v>
      </c>
      <c r="B29" s="71" t="s">
        <v>242</v>
      </c>
      <c r="C29" s="65">
        <f>'FE-18'!A7</f>
        <v>7</v>
      </c>
      <c r="D29" s="65">
        <f>'FE-18'!C7</f>
        <v>0</v>
      </c>
      <c r="E29" s="65">
        <f>'FE-18'!F7</f>
        <v>0</v>
      </c>
      <c r="F29" s="65">
        <f>'FE-18'!L7</f>
        <v>4</v>
      </c>
      <c r="G29" s="65">
        <f>'FE-18'!M7</f>
        <v>3</v>
      </c>
      <c r="H29" s="65">
        <f>'FE-18'!N7</f>
        <v>0</v>
      </c>
      <c r="I29" s="65">
        <f>'FE-18'!O7</f>
        <v>7</v>
      </c>
      <c r="J29" s="6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65">
        <v>19.0</v>
      </c>
      <c r="B30" s="71" t="s">
        <v>249</v>
      </c>
      <c r="C30" s="65">
        <f>'FE-19'!A7</f>
        <v>29</v>
      </c>
      <c r="D30" s="65">
        <f>'FE-19'!C7</f>
        <v>0</v>
      </c>
      <c r="E30" s="65">
        <f>'FE-19'!F7</f>
        <v>0</v>
      </c>
      <c r="F30" s="65">
        <f>'FE-19'!L7</f>
        <v>13</v>
      </c>
      <c r="G30" s="65">
        <f>'FE-19'!M7</f>
        <v>12</v>
      </c>
      <c r="H30" s="65">
        <f>'FE-19'!N7</f>
        <v>4</v>
      </c>
      <c r="I30" s="65">
        <f>'FE-19'!O7</f>
        <v>29</v>
      </c>
      <c r="J30" s="6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65">
        <v>20.0</v>
      </c>
      <c r="B31" s="71" t="s">
        <v>256</v>
      </c>
      <c r="C31" s="65">
        <f>'FE-20'!A7</f>
        <v>17</v>
      </c>
      <c r="D31" s="65">
        <f>'FE-20'!C7</f>
        <v>0</v>
      </c>
      <c r="E31" s="65">
        <f>'FE-20'!F7</f>
        <v>0</v>
      </c>
      <c r="F31" s="65">
        <f>'FE-20'!L7</f>
        <v>6</v>
      </c>
      <c r="G31" s="65">
        <f>'FE-20'!M7</f>
        <v>7</v>
      </c>
      <c r="H31" s="65">
        <f>'FE-20'!N7</f>
        <v>4</v>
      </c>
      <c r="I31" s="65">
        <f>'FE-20'!O7</f>
        <v>17</v>
      </c>
      <c r="J31" s="6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65">
        <v>21.0</v>
      </c>
      <c r="B32" s="71" t="s">
        <v>267</v>
      </c>
      <c r="C32" s="65">
        <f>'FE-21'!A7</f>
        <v>13</v>
      </c>
      <c r="D32" s="65">
        <f>'FE-21'!C7</f>
        <v>0</v>
      </c>
      <c r="E32" s="65">
        <f>'FE-21'!F7</f>
        <v>0</v>
      </c>
      <c r="F32" s="65">
        <f>'FE-21'!L7</f>
        <v>6</v>
      </c>
      <c r="G32" s="65">
        <f>'FE-21'!M7</f>
        <v>4</v>
      </c>
      <c r="H32" s="65">
        <f>'FE-21'!N7</f>
        <v>3</v>
      </c>
      <c r="I32" s="65">
        <f>'FE-21'!O7</f>
        <v>13</v>
      </c>
      <c r="J32" s="6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65">
        <v>22.0</v>
      </c>
      <c r="B33" s="71" t="s">
        <v>276</v>
      </c>
      <c r="C33" s="65">
        <f>'FE-22'!A7</f>
        <v>8</v>
      </c>
      <c r="D33" s="65">
        <f>'FE-22'!C7</f>
        <v>0</v>
      </c>
      <c r="E33" s="65">
        <f>'FE-22'!F7</f>
        <v>0</v>
      </c>
      <c r="F33" s="65">
        <f>'FE-22'!L7</f>
        <v>3</v>
      </c>
      <c r="G33" s="65">
        <f>'FE-22'!M7</f>
        <v>3</v>
      </c>
      <c r="H33" s="65">
        <f>'FE-22'!N7</f>
        <v>2</v>
      </c>
      <c r="I33" s="65">
        <f>'FE-22'!O7</f>
        <v>8</v>
      </c>
      <c r="J33" s="6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65">
        <v>23.0</v>
      </c>
      <c r="B34" s="71" t="s">
        <v>285</v>
      </c>
      <c r="C34" s="65">
        <f>'FE-23'!A7</f>
        <v>17</v>
      </c>
      <c r="D34" s="65">
        <f>'FE-23'!C7</f>
        <v>0</v>
      </c>
      <c r="E34" s="65">
        <f>'FE-23'!F7</f>
        <v>0</v>
      </c>
      <c r="F34" s="65">
        <f>'FE-23'!L7</f>
        <v>5</v>
      </c>
      <c r="G34" s="65">
        <f>'FE-23'!M7</f>
        <v>7</v>
      </c>
      <c r="H34" s="65">
        <f>'FE-23'!N7</f>
        <v>5</v>
      </c>
      <c r="I34" s="65">
        <f>'FE-23'!O7</f>
        <v>17</v>
      </c>
      <c r="J34" s="6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65">
        <v>24.0</v>
      </c>
      <c r="B35" s="71" t="s">
        <v>293</v>
      </c>
      <c r="C35" s="65">
        <f>'FE-24'!A7</f>
        <v>18</v>
      </c>
      <c r="D35" s="65">
        <f>'FE-24'!C7</f>
        <v>0</v>
      </c>
      <c r="E35" s="65">
        <f>'FE-24'!F7</f>
        <v>0</v>
      </c>
      <c r="F35" s="65">
        <f>'FE-24'!L7</f>
        <v>5</v>
      </c>
      <c r="G35" s="65">
        <f>'FE-24'!M7</f>
        <v>8</v>
      </c>
      <c r="H35" s="65">
        <f>'FE-24'!N7</f>
        <v>5</v>
      </c>
      <c r="I35" s="65">
        <f>'FE-24'!O7</f>
        <v>18</v>
      </c>
      <c r="J35" s="6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65">
        <v>25.0</v>
      </c>
      <c r="B36" s="71" t="s">
        <v>304</v>
      </c>
      <c r="C36" s="65">
        <f>'FE-25'!A7</f>
        <v>5</v>
      </c>
      <c r="D36" s="65">
        <f>'FE-25'!C7</f>
        <v>0</v>
      </c>
      <c r="E36" s="65">
        <f>'FE-25'!F7</f>
        <v>0</v>
      </c>
      <c r="F36" s="65">
        <f>'FE-25'!L7</f>
        <v>4</v>
      </c>
      <c r="G36" s="65">
        <f>'FE-25'!M7</f>
        <v>1</v>
      </c>
      <c r="H36" s="65">
        <f>'FE-25'!N7</f>
        <v>0</v>
      </c>
      <c r="I36" s="65">
        <f>'FE-25'!O7</f>
        <v>5</v>
      </c>
      <c r="J36" s="6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65">
        <v>26.0</v>
      </c>
      <c r="B37" s="71" t="s">
        <v>314</v>
      </c>
      <c r="C37" s="65">
        <f>'FE-26'!A7</f>
        <v>29</v>
      </c>
      <c r="D37" s="65">
        <f>'FE-26'!C7</f>
        <v>0</v>
      </c>
      <c r="E37" s="65">
        <f>'FE-26'!F7</f>
        <v>0</v>
      </c>
      <c r="F37" s="65">
        <f>'FE-26'!L7</f>
        <v>11</v>
      </c>
      <c r="G37" s="65">
        <f>'FE-26'!M7</f>
        <v>11</v>
      </c>
      <c r="H37" s="65">
        <f>'FE-26'!N7</f>
        <v>7</v>
      </c>
      <c r="I37" s="65">
        <f>'FE-26'!O7</f>
        <v>29</v>
      </c>
      <c r="J37" s="6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65">
        <v>27.0</v>
      </c>
      <c r="B38" s="71" t="s">
        <v>321</v>
      </c>
      <c r="C38" s="65">
        <f>'FE-27'!A7</f>
        <v>21</v>
      </c>
      <c r="D38" s="65">
        <f>'FE-27'!C7</f>
        <v>0</v>
      </c>
      <c r="E38" s="65">
        <f>'FE-27'!F7</f>
        <v>0</v>
      </c>
      <c r="F38" s="65">
        <f>'FE-27'!L7</f>
        <v>10</v>
      </c>
      <c r="G38" s="65">
        <f>'FE-27'!M7</f>
        <v>7</v>
      </c>
      <c r="H38" s="65">
        <f>'FE-27'!N7</f>
        <v>4</v>
      </c>
      <c r="I38" s="65">
        <f>'FE-27'!O7</f>
        <v>21</v>
      </c>
      <c r="J38" s="6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65">
        <v>28.0</v>
      </c>
      <c r="B39" s="71" t="s">
        <v>322</v>
      </c>
      <c r="C39" s="65">
        <f>'FE-28'!A7</f>
        <v>28</v>
      </c>
      <c r="D39" s="65">
        <f>'FE-28'!C7</f>
        <v>0</v>
      </c>
      <c r="E39" s="65">
        <f>'FE-28'!F7</f>
        <v>0</v>
      </c>
      <c r="F39" s="65">
        <f>'FE-28'!L7</f>
        <v>13</v>
      </c>
      <c r="G39" s="65">
        <f>'FE-28'!M7</f>
        <v>5</v>
      </c>
      <c r="H39" s="65">
        <f>'FE-28'!N7</f>
        <v>10</v>
      </c>
      <c r="I39" s="65">
        <f>'FE-28'!O7</f>
        <v>28</v>
      </c>
      <c r="J39" s="6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65">
        <v>29.0</v>
      </c>
      <c r="B40" s="71" t="s">
        <v>323</v>
      </c>
      <c r="C40" s="65">
        <f>'FE-29'!A7</f>
        <v>21</v>
      </c>
      <c r="D40" s="65">
        <f>'FE-29'!C7</f>
        <v>0</v>
      </c>
      <c r="E40" s="65">
        <f>'FE-29'!F7</f>
        <v>0</v>
      </c>
      <c r="F40" s="65">
        <f>'FE-29'!L7</f>
        <v>14</v>
      </c>
      <c r="G40" s="65">
        <f>'FE-29'!M7</f>
        <v>5</v>
      </c>
      <c r="H40" s="65">
        <f>'FE-29'!N7</f>
        <v>2</v>
      </c>
      <c r="I40" s="65">
        <f>'FE-29'!O7</f>
        <v>21</v>
      </c>
      <c r="J40" s="6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65">
        <v>30.0</v>
      </c>
      <c r="B41" s="71" t="s">
        <v>326</v>
      </c>
      <c r="C41" s="65">
        <f>'FE-30'!A7</f>
        <v>18</v>
      </c>
      <c r="D41" s="65">
        <f>'FE-30'!C7</f>
        <v>0</v>
      </c>
      <c r="E41" s="65">
        <f>'FE-30'!F7</f>
        <v>0</v>
      </c>
      <c r="F41" s="65">
        <f>'FE-30'!L7</f>
        <v>8</v>
      </c>
      <c r="G41" s="65">
        <f>'FE-30'!M7</f>
        <v>9</v>
      </c>
      <c r="H41" s="65">
        <f>'FE-30'!N7</f>
        <v>1</v>
      </c>
      <c r="I41" s="65">
        <f>'FE-30'!O7</f>
        <v>18</v>
      </c>
      <c r="J41" s="6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65">
        <v>31.0</v>
      </c>
      <c r="B42" s="71" t="s">
        <v>333</v>
      </c>
      <c r="C42" s="65">
        <f>'FE-31'!A7</f>
        <v>7</v>
      </c>
      <c r="D42" s="65">
        <f>'FE-31'!C7</f>
        <v>0</v>
      </c>
      <c r="E42" s="65">
        <f>'FE-31'!F7</f>
        <v>0</v>
      </c>
      <c r="F42" s="65">
        <f>'FE-31'!L7</f>
        <v>5</v>
      </c>
      <c r="G42" s="65">
        <f>'FE-31'!M7</f>
        <v>0</v>
      </c>
      <c r="H42" s="65">
        <f>'FE-31'!N7</f>
        <v>2</v>
      </c>
      <c r="I42" s="65">
        <f>'FE-31'!O7</f>
        <v>7</v>
      </c>
      <c r="J42" s="6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65">
        <v>32.0</v>
      </c>
      <c r="B43" s="71" t="s">
        <v>338</v>
      </c>
      <c r="C43" s="65">
        <f>'FE-32'!A7</f>
        <v>15</v>
      </c>
      <c r="D43" s="65">
        <f>'FE-32'!C7</f>
        <v>0</v>
      </c>
      <c r="E43" s="65">
        <f>'FE-32'!F7</f>
        <v>0</v>
      </c>
      <c r="F43" s="65">
        <f>'FE-32'!L7</f>
        <v>8</v>
      </c>
      <c r="G43" s="65">
        <f>'FE-32'!M7</f>
        <v>3</v>
      </c>
      <c r="H43" s="65">
        <f>'FE-32'!N7</f>
        <v>4</v>
      </c>
      <c r="I43" s="65">
        <f>'FE-32'!O7</f>
        <v>15</v>
      </c>
      <c r="J43" s="6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65">
        <v>33.0</v>
      </c>
      <c r="B44" s="71" t="s">
        <v>343</v>
      </c>
      <c r="C44" s="65">
        <f>'FE-33'!A7</f>
        <v>16</v>
      </c>
      <c r="D44" s="65">
        <f>'FE-33'!C7</f>
        <v>0</v>
      </c>
      <c r="E44" s="65">
        <f>'FE-33'!F7</f>
        <v>0</v>
      </c>
      <c r="F44" s="65">
        <f>'FE-33'!L7</f>
        <v>8</v>
      </c>
      <c r="G44" s="65">
        <f>'FE-33'!M7</f>
        <v>5</v>
      </c>
      <c r="H44" s="65">
        <f>'FE-33'!N7</f>
        <v>3</v>
      </c>
      <c r="I44" s="65">
        <f>'FE-33'!O7</f>
        <v>16</v>
      </c>
      <c r="J44" s="6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65">
        <v>34.0</v>
      </c>
      <c r="B45" s="71" t="s">
        <v>355</v>
      </c>
      <c r="C45" s="65">
        <f>'FE-34'!A7</f>
        <v>17</v>
      </c>
      <c r="D45" s="65">
        <f>'FE-34'!C7</f>
        <v>0</v>
      </c>
      <c r="E45" s="65">
        <f>'FE-34'!F7</f>
        <v>0</v>
      </c>
      <c r="F45" s="65">
        <f>'FE-34'!L7</f>
        <v>10</v>
      </c>
      <c r="G45" s="65">
        <f>'FE-34'!M7</f>
        <v>3</v>
      </c>
      <c r="H45" s="65">
        <f>'FE-34'!N7</f>
        <v>4</v>
      </c>
      <c r="I45" s="65">
        <f>'FE-34'!O7</f>
        <v>17</v>
      </c>
      <c r="J45" s="6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65">
        <v>35.0</v>
      </c>
      <c r="B46" s="71" t="s">
        <v>362</v>
      </c>
      <c r="C46" s="65">
        <f>'FE-35'!A7</f>
        <v>21</v>
      </c>
      <c r="D46" s="65">
        <f>'FE-35'!C7</f>
        <v>0</v>
      </c>
      <c r="E46" s="65">
        <f>'FE-35'!F7</f>
        <v>0</v>
      </c>
      <c r="F46" s="65">
        <f>'FE-35'!L7</f>
        <v>5</v>
      </c>
      <c r="G46" s="65">
        <f>'FE-35'!M7</f>
        <v>11</v>
      </c>
      <c r="H46" s="65">
        <f>'FE-35'!N7</f>
        <v>5</v>
      </c>
      <c r="I46" s="65">
        <f>'FE-35'!O7</f>
        <v>21</v>
      </c>
      <c r="J46" s="6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65">
        <v>36.0</v>
      </c>
      <c r="B47" s="71" t="s">
        <v>368</v>
      </c>
      <c r="C47" s="65">
        <f>'FE-36'!A7</f>
        <v>24</v>
      </c>
      <c r="D47" s="65">
        <f>'FE-36'!C7</f>
        <v>0</v>
      </c>
      <c r="E47" s="65">
        <f>'FE-36'!F7</f>
        <v>0</v>
      </c>
      <c r="F47" s="65">
        <f>'FE-36'!L7</f>
        <v>7</v>
      </c>
      <c r="G47" s="65">
        <f>'FE-36'!M7</f>
        <v>12</v>
      </c>
      <c r="H47" s="65">
        <f>'FE-36'!N7</f>
        <v>5</v>
      </c>
      <c r="I47" s="65">
        <f>'FE-36'!O7</f>
        <v>24</v>
      </c>
      <c r="J47" s="6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65">
        <v>37.0</v>
      </c>
      <c r="B48" s="71" t="s">
        <v>374</v>
      </c>
      <c r="C48" s="65">
        <f>'FE-37'!A7</f>
        <v>15</v>
      </c>
      <c r="D48" s="65">
        <f>'FE-37'!C7</f>
        <v>0</v>
      </c>
      <c r="E48" s="65">
        <f>'FE-37'!F7</f>
        <v>0</v>
      </c>
      <c r="F48" s="65">
        <f>'FE-37'!L7</f>
        <v>8</v>
      </c>
      <c r="G48" s="65">
        <f>'FE-37'!M7</f>
        <v>5</v>
      </c>
      <c r="H48" s="65">
        <f>'FE-37'!N7</f>
        <v>2</v>
      </c>
      <c r="I48" s="65">
        <f>'FE-37'!O7</f>
        <v>15</v>
      </c>
      <c r="J48" s="6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65">
        <v>38.0</v>
      </c>
      <c r="B49" s="71" t="s">
        <v>382</v>
      </c>
      <c r="C49" s="65">
        <f>'FE-38'!A7</f>
        <v>24</v>
      </c>
      <c r="D49" s="65">
        <f>'FE-38'!C7</f>
        <v>0</v>
      </c>
      <c r="E49" s="65">
        <f>'FE-38'!F7</f>
        <v>0</v>
      </c>
      <c r="F49" s="65">
        <f>'FE-38'!L7</f>
        <v>8</v>
      </c>
      <c r="G49" s="65">
        <f>'FE-38'!M7</f>
        <v>6</v>
      </c>
      <c r="H49" s="65">
        <f>'FE-38'!N7</f>
        <v>10</v>
      </c>
      <c r="I49" s="65">
        <f>'FE-38'!O7</f>
        <v>24</v>
      </c>
      <c r="J49" s="6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65">
        <v>39.0</v>
      </c>
      <c r="B50" s="71" t="s">
        <v>388</v>
      </c>
      <c r="C50" s="65">
        <f>'FE-39'!A7</f>
        <v>8</v>
      </c>
      <c r="D50" s="65">
        <f>'FE-39'!C7</f>
        <v>0</v>
      </c>
      <c r="E50" s="65">
        <f>'FE-39'!F7</f>
        <v>0</v>
      </c>
      <c r="F50" s="65">
        <f>'FE-39'!L7</f>
        <v>3</v>
      </c>
      <c r="G50" s="65">
        <f>'FE-39'!M7</f>
        <v>5</v>
      </c>
      <c r="H50" s="65">
        <f>'FE-39'!N7</f>
        <v>0</v>
      </c>
      <c r="I50" s="65">
        <f>'FE-39'!O7</f>
        <v>8</v>
      </c>
      <c r="J50" s="6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65">
        <v>40.0</v>
      </c>
      <c r="B51" s="71" t="s">
        <v>399</v>
      </c>
      <c r="C51" s="65">
        <f>'FE-40'!A7</f>
        <v>16</v>
      </c>
      <c r="D51" s="65">
        <f>'FE-40'!C7</f>
        <v>0</v>
      </c>
      <c r="E51" s="65">
        <f>'FE-40'!F7</f>
        <v>0</v>
      </c>
      <c r="F51" s="65">
        <f>'FE-40'!L7</f>
        <v>9</v>
      </c>
      <c r="G51" s="65">
        <f>'FE-40'!M7</f>
        <v>3</v>
      </c>
      <c r="H51" s="65">
        <f>'FE-40'!N7</f>
        <v>4</v>
      </c>
      <c r="I51" s="65">
        <f>'FE-40'!O7</f>
        <v>16</v>
      </c>
      <c r="J51" s="6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65">
        <v>41.0</v>
      </c>
      <c r="B52" s="71" t="s">
        <v>409</v>
      </c>
      <c r="C52" s="65">
        <f>'FE-41'!A7</f>
        <v>10</v>
      </c>
      <c r="D52" s="65">
        <f>'FE-41'!C7</f>
        <v>0</v>
      </c>
      <c r="E52" s="65">
        <f>'FE-41'!F7</f>
        <v>0</v>
      </c>
      <c r="F52" s="65">
        <f>'FE-41'!L7</f>
        <v>3</v>
      </c>
      <c r="G52" s="65">
        <f>'FE-41'!M7</f>
        <v>5</v>
      </c>
      <c r="H52" s="65">
        <f>'FE-41'!N7</f>
        <v>2</v>
      </c>
      <c r="I52" s="65">
        <f>'FE-41'!O7</f>
        <v>10</v>
      </c>
      <c r="J52" s="6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65">
        <v>42.0</v>
      </c>
      <c r="B53" s="71" t="s">
        <v>416</v>
      </c>
      <c r="C53" s="65">
        <f>'FE-42'!A7</f>
        <v>12</v>
      </c>
      <c r="D53" s="65">
        <f>'FE-42'!C7</f>
        <v>0</v>
      </c>
      <c r="E53" s="65">
        <f>'FE-42'!F7</f>
        <v>0</v>
      </c>
      <c r="F53" s="65">
        <f>'FE-42'!L7</f>
        <v>7</v>
      </c>
      <c r="G53" s="65">
        <f>'FE-42'!M7</f>
        <v>5</v>
      </c>
      <c r="H53" s="65">
        <f>'FE-42'!N7</f>
        <v>0</v>
      </c>
      <c r="I53" s="65">
        <f>'FE-42'!O7</f>
        <v>12</v>
      </c>
      <c r="J53" s="6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65">
        <v>43.0</v>
      </c>
      <c r="B54" s="71" t="s">
        <v>424</v>
      </c>
      <c r="C54" s="65">
        <f>'FE-43'!A7</f>
        <v>8</v>
      </c>
      <c r="D54" s="65">
        <f>'FE-43'!C7</f>
        <v>0</v>
      </c>
      <c r="E54" s="65">
        <f>'FE-43'!F7</f>
        <v>0</v>
      </c>
      <c r="F54" s="65">
        <f>'FE-43'!L7</f>
        <v>5</v>
      </c>
      <c r="G54" s="65">
        <f>'FE-43'!M7</f>
        <v>2</v>
      </c>
      <c r="H54" s="65">
        <f>'FE-43'!N7</f>
        <v>1</v>
      </c>
      <c r="I54" s="65">
        <f>'FE-43'!O7</f>
        <v>8</v>
      </c>
      <c r="J54" s="6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65">
        <v>44.0</v>
      </c>
      <c r="B55" s="71" t="s">
        <v>433</v>
      </c>
      <c r="C55" s="65">
        <f>'FE-44'!A7</f>
        <v>13</v>
      </c>
      <c r="D55" s="65">
        <f>'FE-44'!C7</f>
        <v>0</v>
      </c>
      <c r="E55" s="65">
        <f>'FE-44'!F7</f>
        <v>0</v>
      </c>
      <c r="F55" s="65">
        <f>'FE-44'!L7</f>
        <v>5</v>
      </c>
      <c r="G55" s="65">
        <f>'FE-44'!M7</f>
        <v>7</v>
      </c>
      <c r="H55" s="65">
        <f>'FE-44'!N7</f>
        <v>1</v>
      </c>
      <c r="I55" s="65">
        <f>'FE-44'!O7</f>
        <v>13</v>
      </c>
      <c r="J55" s="6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65">
        <v>45.0</v>
      </c>
      <c r="B56" s="71" t="s">
        <v>443</v>
      </c>
      <c r="C56" s="65">
        <f>'FE-45'!A7</f>
        <v>12</v>
      </c>
      <c r="D56" s="65">
        <f>'FE-45'!C7</f>
        <v>0</v>
      </c>
      <c r="E56" s="65">
        <f>'FE-45'!F7</f>
        <v>0</v>
      </c>
      <c r="F56" s="65">
        <f>'FE-45'!L7</f>
        <v>7</v>
      </c>
      <c r="G56" s="65">
        <f>'FE-45'!M7</f>
        <v>5</v>
      </c>
      <c r="H56" s="65">
        <f>'FE-45'!N7</f>
        <v>0</v>
      </c>
      <c r="I56" s="65">
        <f>'FE-45'!O7</f>
        <v>12</v>
      </c>
      <c r="J56" s="6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65">
        <v>46.0</v>
      </c>
      <c r="B57" s="71" t="s">
        <v>452</v>
      </c>
      <c r="C57" s="65">
        <f>'FE-46'!A7</f>
        <v>9</v>
      </c>
      <c r="D57" s="65">
        <f>'FE-46'!C7</f>
        <v>0</v>
      </c>
      <c r="E57" s="65">
        <f>'FE-46'!F7</f>
        <v>0</v>
      </c>
      <c r="F57" s="65">
        <f>'FE-46'!L7</f>
        <v>5</v>
      </c>
      <c r="G57" s="65">
        <f>'FE-46'!M7</f>
        <v>4</v>
      </c>
      <c r="H57" s="65">
        <f>'FE-46'!N7</f>
        <v>0</v>
      </c>
      <c r="I57" s="65">
        <f>'FE-46'!O7</f>
        <v>9</v>
      </c>
      <c r="J57" s="6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65">
        <v>47.0</v>
      </c>
      <c r="B58" s="71" t="s">
        <v>462</v>
      </c>
      <c r="C58" s="65">
        <f>'FE-47'!A7</f>
        <v>16</v>
      </c>
      <c r="D58" s="65">
        <f>'FE-47'!C7</f>
        <v>0</v>
      </c>
      <c r="E58" s="65">
        <f>'FE-47'!F7</f>
        <v>0</v>
      </c>
      <c r="F58" s="65">
        <f>'FE-47'!L7</f>
        <v>8</v>
      </c>
      <c r="G58" s="65">
        <f>'FE-47'!M7</f>
        <v>7</v>
      </c>
      <c r="H58" s="65">
        <f>'FE-47'!N7</f>
        <v>1</v>
      </c>
      <c r="I58" s="65">
        <f>'FE-47'!O7</f>
        <v>16</v>
      </c>
      <c r="J58" s="6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65">
        <v>48.0</v>
      </c>
      <c r="B59" s="71" t="s">
        <v>471</v>
      </c>
      <c r="C59" s="65">
        <f>'FE-48'!A7</f>
        <v>13</v>
      </c>
      <c r="D59" s="65">
        <f>'FE-48'!C7</f>
        <v>0</v>
      </c>
      <c r="E59" s="65">
        <f>'FE-48'!F7</f>
        <v>0</v>
      </c>
      <c r="F59" s="65">
        <f>'FE-48'!L7</f>
        <v>8</v>
      </c>
      <c r="G59" s="65">
        <f>'FE-48'!M7</f>
        <v>4</v>
      </c>
      <c r="H59" s="65">
        <f>'FE-48'!N7</f>
        <v>1</v>
      </c>
      <c r="I59" s="65">
        <f>'FE-48'!O7</f>
        <v>13</v>
      </c>
      <c r="J59" s="6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65">
        <v>49.0</v>
      </c>
      <c r="B60" s="71" t="s">
        <v>481</v>
      </c>
      <c r="C60" s="65">
        <f>'FE-49'!A7</f>
        <v>13</v>
      </c>
      <c r="D60" s="65">
        <f>'FE-49'!C7</f>
        <v>0</v>
      </c>
      <c r="E60" s="65">
        <f>'FE-49'!F7</f>
        <v>0</v>
      </c>
      <c r="F60" s="65">
        <f>'FE-49'!L7</f>
        <v>9</v>
      </c>
      <c r="G60" s="65">
        <f>'FE-49'!M7</f>
        <v>3</v>
      </c>
      <c r="H60" s="65">
        <f>'FE-49'!N7</f>
        <v>1</v>
      </c>
      <c r="I60" s="65">
        <f>'FE-49'!O7</f>
        <v>13</v>
      </c>
      <c r="J60" s="6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65">
        <v>50.0</v>
      </c>
      <c r="B61" s="71" t="s">
        <v>486</v>
      </c>
      <c r="C61" s="65">
        <f>'FE-50'!A7</f>
        <v>10</v>
      </c>
      <c r="D61" s="65">
        <f>'FE-50'!C7</f>
        <v>0</v>
      </c>
      <c r="E61" s="65">
        <f>'FE-50'!F7</f>
        <v>0</v>
      </c>
      <c r="F61" s="65">
        <f>'FE-50'!L7</f>
        <v>4</v>
      </c>
      <c r="G61" s="65">
        <f>'FE-50'!M7</f>
        <v>6</v>
      </c>
      <c r="H61" s="65">
        <f>'FE-50'!N7</f>
        <v>0</v>
      </c>
      <c r="I61" s="65">
        <f>'FE-50'!O7</f>
        <v>10</v>
      </c>
      <c r="J61" s="6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65">
        <v>51.0</v>
      </c>
      <c r="B62" s="71" t="s">
        <v>493</v>
      </c>
      <c r="C62" s="65">
        <f>'FE-51'!A7</f>
        <v>13</v>
      </c>
      <c r="D62" s="65">
        <f>'FE-51'!C7</f>
        <v>0</v>
      </c>
      <c r="E62" s="65">
        <f>'FE-51'!F7</f>
        <v>0</v>
      </c>
      <c r="F62" s="65">
        <f>'FE-51'!L7</f>
        <v>10</v>
      </c>
      <c r="G62" s="65">
        <f>'FE-51'!M7</f>
        <v>1</v>
      </c>
      <c r="H62" s="65">
        <f>'FE-51'!N7</f>
        <v>2</v>
      </c>
      <c r="I62" s="65">
        <f>'FE-51'!O7</f>
        <v>13</v>
      </c>
      <c r="J62" s="6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65">
        <v>52.0</v>
      </c>
      <c r="B63" s="71" t="s">
        <v>499</v>
      </c>
      <c r="C63" s="65">
        <f>'FE-52'!A7</f>
        <v>13</v>
      </c>
      <c r="D63" s="65">
        <f>'FE-52'!C7</f>
        <v>0</v>
      </c>
      <c r="E63" s="65">
        <f>'FE-52'!F7</f>
        <v>0</v>
      </c>
      <c r="F63" s="65">
        <f>'FE-52'!L7</f>
        <v>6</v>
      </c>
      <c r="G63" s="65">
        <f>'FE-52'!M7</f>
        <v>6</v>
      </c>
      <c r="H63" s="65">
        <f>'FE-52'!N7</f>
        <v>1</v>
      </c>
      <c r="I63" s="65">
        <f>'FE-52'!O7</f>
        <v>13</v>
      </c>
      <c r="J63" s="6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65">
        <v>53.0</v>
      </c>
      <c r="B64" s="71" t="s">
        <v>503</v>
      </c>
      <c r="C64" s="65">
        <f>'FE-53'!A7</f>
        <v>17</v>
      </c>
      <c r="D64" s="65">
        <f>'FE-53'!C7</f>
        <v>0</v>
      </c>
      <c r="E64" s="65">
        <f>'FE-53'!F7</f>
        <v>0</v>
      </c>
      <c r="F64" s="65">
        <f>'FE-53'!L7</f>
        <v>3</v>
      </c>
      <c r="G64" s="65">
        <f>'FE-53'!M7</f>
        <v>13</v>
      </c>
      <c r="H64" s="65">
        <f>'FE-53'!N7</f>
        <v>1</v>
      </c>
      <c r="I64" s="65">
        <f>'FE-53'!O7</f>
        <v>17</v>
      </c>
      <c r="J64" s="6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65">
        <v>54.0</v>
      </c>
      <c r="B65" s="71" t="s">
        <v>508</v>
      </c>
      <c r="C65" s="65">
        <f>'FE-54'!A7</f>
        <v>15</v>
      </c>
      <c r="D65" s="65">
        <f>'FE-54'!C7</f>
        <v>0</v>
      </c>
      <c r="E65" s="65">
        <f>'FE-54'!F7</f>
        <v>0</v>
      </c>
      <c r="F65" s="65">
        <f>'FE-54'!L7</f>
        <v>6</v>
      </c>
      <c r="G65" s="65">
        <f>'FE-54'!M7</f>
        <v>9</v>
      </c>
      <c r="H65" s="65">
        <f>'FE-54'!N7</f>
        <v>0</v>
      </c>
      <c r="I65" s="65">
        <f>'FE-54'!O7</f>
        <v>15</v>
      </c>
      <c r="J65" s="6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65">
        <v>55.0</v>
      </c>
      <c r="B66" s="71" t="s">
        <v>514</v>
      </c>
      <c r="C66" s="65">
        <f>'FE-55'!A7</f>
        <v>17</v>
      </c>
      <c r="D66" s="65">
        <f>'FE-55'!C7</f>
        <v>0</v>
      </c>
      <c r="E66" s="65">
        <f>'FE-55'!F7</f>
        <v>0</v>
      </c>
      <c r="F66" s="65">
        <f>'FE-55'!L7</f>
        <v>5</v>
      </c>
      <c r="G66" s="65">
        <f>'FE-55'!M7</f>
        <v>11</v>
      </c>
      <c r="H66" s="65">
        <f>'FE-55'!N7</f>
        <v>1</v>
      </c>
      <c r="I66" s="65">
        <f>'FE-55'!O7</f>
        <v>17</v>
      </c>
      <c r="J66" s="6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65">
        <v>56.0</v>
      </c>
      <c r="B67" s="71" t="s">
        <v>517</v>
      </c>
      <c r="C67" s="65">
        <f>'FE-56'!A7</f>
        <v>13</v>
      </c>
      <c r="D67" s="65">
        <f>'FE-56'!C7</f>
        <v>0</v>
      </c>
      <c r="E67" s="65">
        <f>'FE-56'!F7</f>
        <v>0</v>
      </c>
      <c r="F67" s="65">
        <f>'FE-56'!L7</f>
        <v>6</v>
      </c>
      <c r="G67" s="65">
        <f>'FE-56'!M7</f>
        <v>7</v>
      </c>
      <c r="H67" s="65">
        <f>'FE-56'!N7</f>
        <v>0</v>
      </c>
      <c r="I67" s="65">
        <f>'FE-56'!O7</f>
        <v>13</v>
      </c>
      <c r="J67" s="6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65">
        <v>57.0</v>
      </c>
      <c r="B68" s="71" t="s">
        <v>527</v>
      </c>
      <c r="C68" s="65">
        <f>'FE-57'!A7</f>
        <v>16</v>
      </c>
      <c r="D68" s="65">
        <f>'FE-57'!C7</f>
        <v>0</v>
      </c>
      <c r="E68" s="65">
        <f>'FE-57'!F7</f>
        <v>0</v>
      </c>
      <c r="F68" s="65">
        <f>'FE-57'!L7</f>
        <v>6</v>
      </c>
      <c r="G68" s="65">
        <f>'FE-57'!M7</f>
        <v>9</v>
      </c>
      <c r="H68" s="65">
        <f>'FE-57'!N7</f>
        <v>1</v>
      </c>
      <c r="I68" s="65">
        <f>'FE-57'!O7</f>
        <v>16</v>
      </c>
      <c r="J68" s="6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65">
        <v>58.0</v>
      </c>
      <c r="B69" s="71" t="s">
        <v>534</v>
      </c>
      <c r="C69" s="65">
        <f>'FE-58'!A7</f>
        <v>23</v>
      </c>
      <c r="D69" s="65">
        <f>'FE-58'!C7</f>
        <v>0</v>
      </c>
      <c r="E69" s="65">
        <f>'FE-58'!F7</f>
        <v>0</v>
      </c>
      <c r="F69" s="65">
        <f>'FE-58'!L7</f>
        <v>10</v>
      </c>
      <c r="G69" s="65">
        <f>'FE-58'!M7</f>
        <v>12</v>
      </c>
      <c r="H69" s="65">
        <f>'FE-58'!N7</f>
        <v>1</v>
      </c>
      <c r="I69" s="65">
        <f>'FE-58'!O7</f>
        <v>23</v>
      </c>
      <c r="J69" s="6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65">
        <v>59.0</v>
      </c>
      <c r="B70" s="71" t="s">
        <v>539</v>
      </c>
      <c r="C70" s="65">
        <f>'FE-59'!A7</f>
        <v>13</v>
      </c>
      <c r="D70" s="65">
        <f>'FE-59'!C7</f>
        <v>0</v>
      </c>
      <c r="E70" s="65">
        <f>'FE-59'!F7</f>
        <v>0</v>
      </c>
      <c r="F70" s="65">
        <f>'FE-59'!L7</f>
        <v>4</v>
      </c>
      <c r="G70" s="65">
        <f>'FE-59'!M7</f>
        <v>9</v>
      </c>
      <c r="H70" s="65">
        <f>'FE-59'!N7</f>
        <v>0</v>
      </c>
      <c r="I70" s="65">
        <f>'FE-59'!O7</f>
        <v>13</v>
      </c>
      <c r="J70" s="6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65">
        <v>60.0</v>
      </c>
      <c r="B71" s="71" t="s">
        <v>548</v>
      </c>
      <c r="C71" s="65">
        <f>'FE-60'!A7</f>
        <v>13</v>
      </c>
      <c r="D71" s="65">
        <f>'FE-60'!C7</f>
        <v>0</v>
      </c>
      <c r="E71" s="65">
        <f>'FE-60'!F7</f>
        <v>0</v>
      </c>
      <c r="F71" s="65">
        <f>'FE-60'!L7</f>
        <v>7</v>
      </c>
      <c r="G71" s="65">
        <f>'FE-60'!M7</f>
        <v>5</v>
      </c>
      <c r="H71" s="65">
        <f>'FE-60'!N7</f>
        <v>1</v>
      </c>
      <c r="I71" s="65">
        <f>'FE-60'!O7</f>
        <v>13</v>
      </c>
      <c r="J71" s="6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65">
        <v>61.0</v>
      </c>
      <c r="B72" s="71" t="s">
        <v>559</v>
      </c>
      <c r="C72" s="65">
        <f>'FE-61'!A7</f>
        <v>18</v>
      </c>
      <c r="D72" s="65">
        <f>'FE-61'!C7</f>
        <v>0</v>
      </c>
      <c r="E72" s="65">
        <f>'FE-61'!F7</f>
        <v>0</v>
      </c>
      <c r="F72" s="65">
        <f>'FE-61'!L7</f>
        <v>6</v>
      </c>
      <c r="G72" s="65">
        <f>'FE-61'!M7</f>
        <v>12</v>
      </c>
      <c r="H72" s="65">
        <f>'FE-61'!N7</f>
        <v>0</v>
      </c>
      <c r="I72" s="65">
        <f>'FE-61'!O7</f>
        <v>18</v>
      </c>
      <c r="J72" s="6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65">
        <v>62.0</v>
      </c>
      <c r="B73" s="71" t="s">
        <v>567</v>
      </c>
      <c r="C73" s="65">
        <f>'FE-62'!A7</f>
        <v>12</v>
      </c>
      <c r="D73" s="65">
        <f>'FE-62'!C7</f>
        <v>0</v>
      </c>
      <c r="E73" s="65">
        <f>'FE-62'!F7</f>
        <v>0</v>
      </c>
      <c r="F73" s="65">
        <f>'FE-62'!L7</f>
        <v>7</v>
      </c>
      <c r="G73" s="65">
        <f>'FE-62'!M7</f>
        <v>5</v>
      </c>
      <c r="H73" s="65">
        <f>'FE-62'!N7</f>
        <v>0</v>
      </c>
      <c r="I73" s="65">
        <f>'FE-62'!O7</f>
        <v>12</v>
      </c>
      <c r="J73" s="6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65">
        <v>63.0</v>
      </c>
      <c r="B74" s="71" t="s">
        <v>574</v>
      </c>
      <c r="C74" s="65">
        <f>'FE-63'!A7</f>
        <v>11</v>
      </c>
      <c r="D74" s="65">
        <f>'FE-63'!C7</f>
        <v>0</v>
      </c>
      <c r="E74" s="65">
        <f>'FE-63'!F7</f>
        <v>0</v>
      </c>
      <c r="F74" s="65">
        <f>'FE-63'!L7</f>
        <v>6</v>
      </c>
      <c r="G74" s="65">
        <f>'FE-63'!M7</f>
        <v>5</v>
      </c>
      <c r="H74" s="65">
        <f>'FE-63'!N7</f>
        <v>0</v>
      </c>
      <c r="I74" s="65">
        <f>'FE-63'!O7</f>
        <v>11</v>
      </c>
      <c r="J74" s="6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65">
        <v>64.0</v>
      </c>
      <c r="B75" s="71" t="s">
        <v>583</v>
      </c>
      <c r="C75" s="65">
        <f>'FE-64'!A7</f>
        <v>9</v>
      </c>
      <c r="D75" s="65">
        <f>'FE-64'!C7</f>
        <v>0</v>
      </c>
      <c r="E75" s="65">
        <f>'FE-64'!F7</f>
        <v>0</v>
      </c>
      <c r="F75" s="65">
        <f>'FE-64'!L7</f>
        <v>5</v>
      </c>
      <c r="G75" s="65">
        <f>'FE-64'!M7</f>
        <v>3</v>
      </c>
      <c r="H75" s="65">
        <f>'FE-64'!N7</f>
        <v>1</v>
      </c>
      <c r="I75" s="65">
        <f>'FE-64'!O7</f>
        <v>9</v>
      </c>
      <c r="J75" s="6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65"/>
      <c r="B76" s="97"/>
      <c r="C76" s="65"/>
      <c r="D76" s="65"/>
      <c r="E76" s="65"/>
      <c r="F76" s="65"/>
      <c r="G76" s="65"/>
      <c r="H76" s="65"/>
      <c r="I76" s="65"/>
      <c r="J76" s="6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65"/>
      <c r="B77" s="97"/>
      <c r="C77" s="65"/>
      <c r="D77" s="65"/>
      <c r="E77" s="65"/>
      <c r="F77" s="65"/>
      <c r="G77" s="65"/>
      <c r="H77" s="65"/>
      <c r="I77" s="65"/>
      <c r="J77" s="6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98"/>
      <c r="B78" s="99" t="s">
        <v>598</v>
      </c>
      <c r="C78" s="100">
        <f t="shared" ref="C78:I78" si="1">SUM(C12:C75)</f>
        <v>919</v>
      </c>
      <c r="D78" s="100">
        <f t="shared" si="1"/>
        <v>0</v>
      </c>
      <c r="E78" s="100">
        <f t="shared" si="1"/>
        <v>0</v>
      </c>
      <c r="F78" s="100">
        <f t="shared" si="1"/>
        <v>403</v>
      </c>
      <c r="G78" s="100">
        <f t="shared" si="1"/>
        <v>367</v>
      </c>
      <c r="H78" s="100">
        <f t="shared" si="1"/>
        <v>136</v>
      </c>
      <c r="I78" s="100">
        <f t="shared" si="1"/>
        <v>919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01"/>
      <c r="B79" s="2"/>
      <c r="C79" s="102"/>
      <c r="D79" s="103"/>
      <c r="E79" s="103"/>
      <c r="F79" s="103"/>
      <c r="G79" s="103"/>
      <c r="H79" s="103"/>
      <c r="I79" s="10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104" t="s">
        <v>610</v>
      </c>
      <c r="C80" s="2"/>
      <c r="D80" s="105">
        <f>IFERROR((C78+D78)/I78,0)</f>
        <v>1</v>
      </c>
      <c r="E80" s="2"/>
      <c r="F80" s="2"/>
      <c r="G80" s="2"/>
      <c r="H80" s="2"/>
      <c r="I80" s="106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104" t="s">
        <v>615</v>
      </c>
      <c r="C81" s="2"/>
      <c r="D81" s="105">
        <f>IFERROR(C78/I78,0)</f>
        <v>1</v>
      </c>
      <c r="E81" s="2"/>
      <c r="F81" s="2"/>
      <c r="G81" s="2"/>
      <c r="H81" s="2"/>
      <c r="I81" s="106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104" t="s">
        <v>618</v>
      </c>
      <c r="C82" s="2"/>
      <c r="D82" s="105">
        <f>IFERROR(F78/I78,0)</f>
        <v>0.4385201306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104" t="s">
        <v>623</v>
      </c>
      <c r="C83" s="2"/>
      <c r="D83" s="105">
        <f>IFERROR(G78/I78,0)</f>
        <v>0.3993471164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104" t="s">
        <v>626</v>
      </c>
      <c r="C84" s="2"/>
      <c r="D84" s="105">
        <f>IFERROR(H78/I78,0)</f>
        <v>0.1479869423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display="FE-01_Register a New Account" location="'FE-01'!A1" ref="B12"/>
    <hyperlink display="FE-02_Sign In &amp; Logout (Email &amp; Password)" location="'FE-02'!A1" ref="B13"/>
    <hyperlink display="FE-03_Sign In with Google (OAuth)" location="'FE-03'!A1" ref="B14"/>
    <hyperlink display="FE-04_Manage Password (Change / Forgot )" location="'FE-04'!A1" ref="B15"/>
    <hyperlink display="FE-05_View User Profile" location="'FE-05'!A1" ref="B16"/>
    <hyperlink display="FE-06_Edit Profile &amp; Manage Skills" location="'FE-06'!A1" ref="B17"/>
    <hyperlink display="FE-07_Manage Career Timeline" location="'FE-07'!A1" ref="B18"/>
    <hyperlink display="FE-08_Search Users &amp; Alumni Directory" location="'FE-08'!A1" ref="B19"/>
    <hyperlink display="FE-09_View Connection Suggestions" location="'FE-09'!A1" ref="B20"/>
    <hyperlink display="FE-10_Manage Social Connections (Follow / Followers / Following)" location="'FE-10'!A1" ref="B21"/>
    <hyperlink display="FE-11_Admin Console Shell, Access Control &amp; Navigation" location="'FE-11'!A1" ref="B22"/>
    <hyperlink display="FE-12_Admin Overview Dashboard &amp; Operations" location="'FE-12'!A1" ref="B23"/>
    <hyperlink display="FE-13_User Account Management" location="'FE-13'!A1" ref="B24"/>
    <hyperlink display="FE-14_View &amp; Filter Community Posts" location="'FE-14'!A1" ref="B25"/>
    <hyperlink display="FE-15_View Community Post Detail" location="'FE-15'!A1" ref="B26"/>
    <hyperlink display="FE-16_Hide / Unhide Violating Posts" location="'FE-16'!A1" ref="B27"/>
    <hyperlink display="FE-17_Alumni Verification Management Queue" location="'FE-17'!A1" ref="B28"/>
    <hyperlink display="FE-18_Violation Reports &amp; Content Moderation Queue" location="'FE-18'!A1" ref="B29"/>
    <hyperlink display="FE-19_Broadcast &amp; System Notifications Management" location="'FE-19'!A1" ref="B30"/>
    <hyperlink display="FE-20_Create a Post on the Feed" location="'FE-20'!A1" ref="B31"/>
    <hyperlink display="FE-21_View Feed &amp; Post Detail" location="'FE-21'!A1" ref="B32"/>
    <hyperlink display="FE-22_Edit a Post" location="'FE-22'!A1" ref="B33"/>
    <hyperlink display="FE-23_Like &amp; Report a Post" location="'FE-23'!A1" ref="B34"/>
    <hyperlink display="FE-24_Comment on a Post" location="'FE-24'!A1" ref="B35"/>
    <hyperlink display="FE-25_Bookmark Posts (Save / View Saved)" location="'FE-25'!A1" ref="B36"/>
    <hyperlink display="FE-26_Event Attendance &amp; RSVP Management" location="'FE-26'!A1" ref="B37"/>
    <hyperlink display="FE-27_Event Lifecycle &amp; Attendance History" location="'FE-27'!A1" ref="B38"/>
    <hyperlink display="FE-28_Manage Notifications (View &amp; Manage Notifications)" location="'FE-28'!A1" ref="B39"/>
    <hyperlink display="FE-29_View Conversation List (Inbox)" location="'FE-29'!A1" ref="B40"/>
    <hyperlink display="FE-30_Send a Direct Message &amp; Chat History" location="'FE-30'!A1" ref="B41"/>
    <hyperlink display="FE-31_Alumni Map (View, Filter &amp; Profile Navigation)" location="'FE-31'!A1" ref="B42"/>
    <hyperlink display="FE-32_Manage Career Path (View &amp; Explore Alumni Career Journey)" location="'FE-32'!A1" ref="B43"/>
    <hyperlink display="FE-33_Manage Posts (Share, Delete &amp; Search Posts)" location="'FE-33'!A1" ref="B44"/>
    <hyperlink display="FE-34_Forum Q&amp;A - View, Search &amp; Filter Questions" location="'FE-34'!A1" ref="B45"/>
    <hyperlink display="FE-35_Forum Q&amp;A - Create &amp; Manage Questions" location="'FE-35'!A1" ref="B46"/>
    <hyperlink display="FE-36_Forum Q&amp;A - Answer &amp; Manage Answers" location="'FE-36'!A1" ref="B47"/>
    <hyperlink display="FE-37_Forum Q&amp;A - Voting on Questions and Answers" location="'FE-37'!A1" ref="B48"/>
    <hyperlink display="FE-38_Salary Board - Contribute &amp; View Recent Data" location="'FE-38'!A1" ref="B49"/>
    <hyperlink display="FE-39_Salary Board - Edit &amp; Delete My Data" location="'FE-39'!A1" ref="B50"/>
    <hyperlink display="FE-40_Salary Board - Statistics &amp; Filter" location="'FE-40'!A1" ref="B51"/>
    <hyperlink display="FE-41_Group Chat - Create &amp; Update Group Profile" location="'FE-41'!A1" ref="B52"/>
    <hyperlink display="FE-42_Group Chat - Manage Group Members" location="'FE-42'!A1" ref="B53"/>
    <hyperlink display="FE-43_Community Groups - View, Search &amp; Group Detail" location="'FE-43'!A1" ref="B54"/>
    <hyperlink display="FE-44_Community Groups - Create, Update, Close/Reopen &amp; Delete" location="'FE-44'!A1" ref="B55"/>
    <hyperlink display="FE-45_Community Groups - Join, Leave &amp; Handle Join Requests" location="'FE-45'!A1" ref="B56"/>
    <hyperlink display="FE-46_Community Groups - Members &amp; Roles" location="'FE-46'!A1" ref="B57"/>
    <hyperlink display="FE-47_Community Groups - Manage Group Posts" location="'FE-47'!A1" ref="B58"/>
    <hyperlink display="FE-48_Community Groups - Like &amp; Comment on Group Posts" location="'FE-48'!A1" ref="B59"/>
    <hyperlink display="FE-49_Mentoring - Terms &amp; Mentor Registration" location="'FE-49'!A1" ref="B60"/>
    <hyperlink display="FE-50_Mentoring - Mentor Plan Selection &amp; Payment" location="'FE-50'!A1" ref="B61"/>
    <hyperlink display="FE-51_Mentoring - Mentor &amp; Subscription Status" location="'FE-51'!A1" ref="B62"/>
    <hyperlink display="FE-52_Mentoring - Mentor Ranking, Search &amp; Detail" location="'FE-52'!A1" ref="B63"/>
    <hyperlink display="FE-53_Mentoring - Create Mentoring Request &amp; Direct Request" location="'FE-53'!A1" ref="B64"/>
    <hyperlink display="FE-54_Mentoring - View Responses &amp; Respond to Requests" location="'FE-54'!A1" ref="B65"/>
    <hyperlink display="FE-55_Mentoring - Negotiate &amp; Confirm a Mentoring Deal" location="'FE-55'!A1" ref="B66"/>
    <hyperlink display="FE-56_Mentoring - Pay for a Mentoring Task" location="'FE-56'!A1" ref="B67"/>
    <hyperlink display="FE-57_Mentoring - Manage Tasks &amp; Work Logs" location="'FE-57'!A1" ref="B68"/>
    <hyperlink display="FE-58_Mentoring - Task Extension, Amendment &amp; Completion" location="'FE-58'!A1" ref="B69"/>
    <hyperlink display="FE-59_Mentoring - Settlement Ticket &amp; Dispute Ticket" location="'FE-59'!A1" ref="B70"/>
    <hyperlink display="FE-60_Mentoring - Task Result, Payment Report &amp; Reviews" location="'FE-60'!A1" ref="B71"/>
    <hyperlink display="FE-61_Mentoring - Group Mentorship" location="'FE-61'!A1" ref="B72"/>
    <hyperlink display="FE-62_Admin Mentoring - Dispute Ticket Queue, Evidence &amp; Discussion" location="'FE-62'!A1" ref="B73"/>
    <hyperlink display="FE-63_Admin Mentoring - Resolve Ticket &amp; Financial Ledgers" location="'FE-63'!A1" ref="B74"/>
    <hyperlink display="FE-64_Admin Mentoring - Mentors, CV, Plans &amp; Revenue" location="'FE-64'!A1" ref="B75"/>
  </hyperlinks>
  <printOptions/>
  <pageMargins bottom="0.75" footer="0.0" header="0.0" left="0.7" right="0.7" top="0.75"/>
  <pageSetup fitToHeight="0" orientation="landscape"/>
  <headerFooter>
    <oddFooter>&amp;L 02ae-BM/PM/HDCV/FSOFT v2/1&amp;C Internal use&amp;R 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8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</row>
    <row r="2" ht="13.5" customHeight="1">
      <c r="A2" s="111" t="s">
        <v>707</v>
      </c>
      <c r="B2" s="112"/>
      <c r="C2" s="113" t="s">
        <v>89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64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ht="13.5" customHeight="1">
      <c r="A4" s="117" t="s">
        <v>711</v>
      </c>
      <c r="B4" s="27"/>
      <c r="C4" s="122">
        <v>224.0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ht="13.5" customHeight="1">
      <c r="A5" s="117" t="s">
        <v>713</v>
      </c>
      <c r="B5" s="27"/>
      <c r="C5" s="124" t="s">
        <v>714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ht="13.5" customHeight="1">
      <c r="A7" s="129">
        <f>COUNTIF(F89:AB89,"P")</f>
        <v>23</v>
      </c>
      <c r="B7" s="130"/>
      <c r="C7" s="131">
        <f>COUNTIF(F89:AB89,"F")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COUNTIF(F88:AB88,"N")</f>
        <v>5</v>
      </c>
      <c r="M7" s="132">
        <f>COUNTIF(F88:AB88,"A")</f>
        <v>13</v>
      </c>
      <c r="N7" s="132">
        <f>COUNTIF(F88:AB88,"B")</f>
        <v>5</v>
      </c>
      <c r="O7" s="133">
        <f>COUNTA(F9:AB9)</f>
        <v>23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39" t="s">
        <v>736</v>
      </c>
      <c r="AA9" s="139" t="s">
        <v>737</v>
      </c>
      <c r="AB9" s="140" t="s">
        <v>738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7"/>
    </row>
    <row r="11" ht="13.5" customHeight="1">
      <c r="A11" s="148"/>
      <c r="B11" s="149"/>
      <c r="C11" s="150"/>
      <c r="D11" s="151" t="s">
        <v>741</v>
      </c>
      <c r="E11" s="145"/>
      <c r="F11" s="152" t="s">
        <v>742</v>
      </c>
      <c r="G11" s="152" t="s">
        <v>742</v>
      </c>
      <c r="H11" s="152"/>
      <c r="I11" s="152"/>
      <c r="J11" s="152" t="s">
        <v>742</v>
      </c>
      <c r="K11" s="152" t="s">
        <v>742</v>
      </c>
      <c r="L11" s="152" t="s">
        <v>742</v>
      </c>
      <c r="M11" s="152" t="s">
        <v>742</v>
      </c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3"/>
    </row>
    <row r="12" ht="13.5" customHeight="1">
      <c r="A12" s="148"/>
      <c r="B12" s="149"/>
      <c r="C12" s="150"/>
      <c r="D12" s="151" t="s">
        <v>743</v>
      </c>
      <c r="E12" s="145"/>
      <c r="F12" s="152" t="s">
        <v>742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3"/>
    </row>
    <row r="13" ht="13.5" customHeight="1">
      <c r="A13" s="148"/>
      <c r="B13" s="149"/>
      <c r="C13" s="150"/>
      <c r="D13" s="151" t="s">
        <v>744</v>
      </c>
      <c r="E13" s="145"/>
      <c r="F13" s="152" t="s">
        <v>742</v>
      </c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3"/>
    </row>
    <row r="14" ht="13.5" customHeight="1">
      <c r="A14" s="148"/>
      <c r="B14" s="149"/>
      <c r="C14" s="150"/>
      <c r="D14" s="151" t="s">
        <v>745</v>
      </c>
      <c r="E14" s="145"/>
      <c r="F14" s="152"/>
      <c r="G14" s="152" t="s">
        <v>742</v>
      </c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3"/>
    </row>
    <row r="15" ht="13.5" customHeight="1">
      <c r="A15" s="148"/>
      <c r="B15" s="149"/>
      <c r="C15" s="150"/>
      <c r="D15" s="151" t="s">
        <v>746</v>
      </c>
      <c r="E15" s="145"/>
      <c r="F15" s="152"/>
      <c r="G15" s="152"/>
      <c r="H15" s="152" t="s">
        <v>742</v>
      </c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3"/>
    </row>
    <row r="16" ht="13.5" customHeight="1">
      <c r="A16" s="148"/>
      <c r="B16" s="149"/>
      <c r="C16" s="150"/>
      <c r="D16" s="151" t="s">
        <v>747</v>
      </c>
      <c r="E16" s="145"/>
      <c r="F16" s="152"/>
      <c r="G16" s="152"/>
      <c r="H16" s="152"/>
      <c r="I16" s="152" t="s">
        <v>742</v>
      </c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3"/>
    </row>
    <row r="17" ht="13.5" customHeight="1">
      <c r="A17" s="148"/>
      <c r="B17" s="149"/>
      <c r="C17" s="150"/>
      <c r="D17" s="151" t="s">
        <v>748</v>
      </c>
      <c r="E17" s="145"/>
      <c r="F17" s="152"/>
      <c r="G17" s="152"/>
      <c r="H17" s="152"/>
      <c r="I17" s="152"/>
      <c r="J17" s="152" t="s">
        <v>742</v>
      </c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3"/>
    </row>
    <row r="18" ht="13.5" customHeight="1">
      <c r="A18" s="148"/>
      <c r="B18" s="149"/>
      <c r="C18" s="150"/>
      <c r="D18" s="151" t="s">
        <v>749</v>
      </c>
      <c r="E18" s="145"/>
      <c r="F18" s="152"/>
      <c r="G18" s="152"/>
      <c r="H18" s="152"/>
      <c r="I18" s="152"/>
      <c r="J18" s="152"/>
      <c r="K18" s="152"/>
      <c r="L18" s="152" t="s">
        <v>742</v>
      </c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3"/>
    </row>
    <row r="19" ht="13.5" customHeight="1">
      <c r="A19" s="148"/>
      <c r="B19" s="149"/>
      <c r="C19" s="150"/>
      <c r="D19" s="151" t="s">
        <v>750</v>
      </c>
      <c r="E19" s="145"/>
      <c r="F19" s="152"/>
      <c r="G19" s="152"/>
      <c r="H19" s="152"/>
      <c r="I19" s="152"/>
      <c r="J19" s="152"/>
      <c r="K19" s="152"/>
      <c r="L19" s="152"/>
      <c r="M19" s="152" t="s">
        <v>742</v>
      </c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3"/>
    </row>
    <row r="20" ht="13.5" customHeight="1">
      <c r="A20" s="148"/>
      <c r="B20" s="149"/>
      <c r="C20" s="150"/>
      <c r="D20" s="151" t="s">
        <v>751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 t="s">
        <v>742</v>
      </c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3"/>
    </row>
    <row r="21" ht="13.5" customHeight="1">
      <c r="A21" s="148"/>
      <c r="B21" s="149"/>
      <c r="C21" s="150"/>
      <c r="D21" s="151" t="s">
        <v>752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 t="s">
        <v>742</v>
      </c>
      <c r="P21" s="152" t="s">
        <v>742</v>
      </c>
      <c r="Q21" s="152" t="s">
        <v>742</v>
      </c>
      <c r="R21" s="152" t="s">
        <v>742</v>
      </c>
      <c r="S21" s="152"/>
      <c r="T21" s="152"/>
      <c r="U21" s="152"/>
      <c r="V21" s="152"/>
      <c r="W21" s="152"/>
      <c r="X21" s="152"/>
      <c r="Y21" s="152"/>
      <c r="Z21" s="152"/>
      <c r="AA21" s="152"/>
      <c r="AB21" s="153"/>
    </row>
    <row r="22" ht="13.5" customHeight="1">
      <c r="A22" s="148"/>
      <c r="B22" s="149"/>
      <c r="C22" s="150"/>
      <c r="D22" s="151" t="s">
        <v>753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 t="s">
        <v>742</v>
      </c>
      <c r="T22" s="152"/>
      <c r="U22" s="152"/>
      <c r="V22" s="152"/>
      <c r="W22" s="152"/>
      <c r="X22" s="152"/>
      <c r="Y22" s="152"/>
      <c r="Z22" s="152"/>
      <c r="AA22" s="152"/>
      <c r="AB22" s="153"/>
    </row>
    <row r="23" ht="13.5" customHeight="1">
      <c r="A23" s="148"/>
      <c r="B23" s="149"/>
      <c r="C23" s="150"/>
      <c r="D23" s="151" t="s">
        <v>754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 t="s">
        <v>742</v>
      </c>
      <c r="T23" s="152"/>
      <c r="U23" s="152"/>
      <c r="V23" s="152"/>
      <c r="W23" s="152"/>
      <c r="X23" s="152"/>
      <c r="Y23" s="152"/>
      <c r="Z23" s="152"/>
      <c r="AA23" s="152"/>
      <c r="AB23" s="153"/>
    </row>
    <row r="24" ht="13.5" customHeight="1">
      <c r="A24" s="148"/>
      <c r="B24" s="149"/>
      <c r="C24" s="150"/>
      <c r="D24" s="151" t="s">
        <v>756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 t="s">
        <v>742</v>
      </c>
      <c r="U24" s="152"/>
      <c r="V24" s="152"/>
      <c r="W24" s="152"/>
      <c r="X24" s="152"/>
      <c r="Y24" s="152"/>
      <c r="Z24" s="152"/>
      <c r="AA24" s="152"/>
      <c r="AB24" s="153"/>
    </row>
    <row r="25" ht="13.5" customHeight="1">
      <c r="A25" s="148"/>
      <c r="B25" s="149"/>
      <c r="C25" s="150"/>
      <c r="D25" s="151" t="s">
        <v>757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 t="s">
        <v>742</v>
      </c>
      <c r="U25" s="152"/>
      <c r="V25" s="152"/>
      <c r="W25" s="152"/>
      <c r="X25" s="152"/>
      <c r="Y25" s="152"/>
      <c r="Z25" s="152"/>
      <c r="AA25" s="152"/>
      <c r="AB25" s="153"/>
    </row>
    <row r="26" ht="13.5" customHeight="1">
      <c r="A26" s="148"/>
      <c r="B26" s="149"/>
      <c r="C26" s="150"/>
      <c r="D26" s="151" t="s">
        <v>758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 t="s">
        <v>742</v>
      </c>
      <c r="V26" s="152"/>
      <c r="W26" s="152"/>
      <c r="X26" s="152"/>
      <c r="Y26" s="152"/>
      <c r="Z26" s="152"/>
      <c r="AA26" s="152"/>
      <c r="AB26" s="153"/>
    </row>
    <row r="27" ht="13.5" customHeight="1">
      <c r="A27" s="148"/>
      <c r="B27" s="149"/>
      <c r="C27" s="150"/>
      <c r="D27" s="151" t="s">
        <v>759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 t="s">
        <v>742</v>
      </c>
      <c r="W27" s="152"/>
      <c r="X27" s="152"/>
      <c r="Y27" s="152"/>
      <c r="Z27" s="152"/>
      <c r="AA27" s="152"/>
      <c r="AB27" s="153"/>
    </row>
    <row r="28" ht="13.5" customHeight="1">
      <c r="A28" s="148"/>
      <c r="B28" s="149"/>
      <c r="C28" s="150"/>
      <c r="D28" s="151" t="s">
        <v>760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 t="s">
        <v>742</v>
      </c>
      <c r="X28" s="152"/>
      <c r="Y28" s="152"/>
      <c r="Z28" s="152"/>
      <c r="AA28" s="152"/>
      <c r="AB28" s="153"/>
    </row>
    <row r="29" ht="13.5" customHeight="1">
      <c r="A29" s="148"/>
      <c r="B29" s="149"/>
      <c r="C29" s="150"/>
      <c r="D29" s="151" t="s">
        <v>761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 t="s">
        <v>742</v>
      </c>
      <c r="Y29" s="152"/>
      <c r="Z29" s="152"/>
      <c r="AA29" s="152"/>
      <c r="AB29" s="153"/>
    </row>
    <row r="30" ht="13.5" customHeight="1">
      <c r="A30" s="148"/>
      <c r="B30" s="149"/>
      <c r="C30" s="150"/>
      <c r="D30" s="151" t="s">
        <v>762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 t="s">
        <v>742</v>
      </c>
      <c r="Z30" s="152"/>
      <c r="AA30" s="152"/>
      <c r="AB30" s="153"/>
    </row>
    <row r="31" ht="13.5" customHeight="1">
      <c r="A31" s="148"/>
      <c r="B31" s="149"/>
      <c r="C31" s="150"/>
      <c r="D31" s="151" t="s">
        <v>764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 t="s">
        <v>742</v>
      </c>
      <c r="AA31" s="152" t="s">
        <v>742</v>
      </c>
      <c r="AB31" s="153"/>
    </row>
    <row r="32" ht="13.5" customHeight="1">
      <c r="A32" s="148"/>
      <c r="B32" s="149"/>
      <c r="C32" s="150"/>
      <c r="D32" s="151" t="s">
        <v>765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 t="s">
        <v>742</v>
      </c>
      <c r="AA32" s="152"/>
      <c r="AB32" s="153"/>
    </row>
    <row r="33" ht="13.5" customHeight="1">
      <c r="A33" s="148"/>
      <c r="B33" s="149"/>
      <c r="C33" s="150"/>
      <c r="D33" s="151" t="s">
        <v>766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 t="s">
        <v>742</v>
      </c>
      <c r="AB33" s="153"/>
    </row>
    <row r="34" ht="13.5" customHeight="1">
      <c r="A34" s="148"/>
      <c r="B34" s="149"/>
      <c r="C34" s="150"/>
      <c r="D34" s="151" t="s">
        <v>767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3" t="s">
        <v>742</v>
      </c>
    </row>
    <row r="35" ht="13.5" customHeight="1">
      <c r="A35" s="148"/>
      <c r="B35" s="149" t="s">
        <v>768</v>
      </c>
      <c r="C35" s="150"/>
      <c r="D35" s="151"/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3"/>
    </row>
    <row r="36" ht="13.5" customHeight="1">
      <c r="A36" s="148"/>
      <c r="B36" s="149"/>
      <c r="C36" s="150"/>
      <c r="D36" s="151" t="s">
        <v>769</v>
      </c>
      <c r="E36" s="145"/>
      <c r="F36" s="152" t="s">
        <v>742</v>
      </c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3"/>
    </row>
    <row r="37" ht="13.5" customHeight="1">
      <c r="A37" s="148"/>
      <c r="B37" s="149"/>
      <c r="C37" s="150"/>
      <c r="D37" s="151" t="s">
        <v>770</v>
      </c>
      <c r="E37" s="145"/>
      <c r="F37" s="152"/>
      <c r="G37" s="152" t="s">
        <v>742</v>
      </c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3"/>
    </row>
    <row r="38" ht="13.5" customHeight="1">
      <c r="A38" s="148"/>
      <c r="B38" s="149"/>
      <c r="C38" s="150"/>
      <c r="D38" s="151" t="s">
        <v>771</v>
      </c>
      <c r="E38" s="145"/>
      <c r="F38" s="152"/>
      <c r="G38" s="152"/>
      <c r="H38" s="152" t="s">
        <v>742</v>
      </c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3"/>
    </row>
    <row r="39" ht="13.5" customHeight="1">
      <c r="A39" s="148"/>
      <c r="B39" s="149"/>
      <c r="C39" s="150"/>
      <c r="D39" s="151" t="s">
        <v>772</v>
      </c>
      <c r="E39" s="145"/>
      <c r="F39" s="152"/>
      <c r="G39" s="152"/>
      <c r="H39" s="152"/>
      <c r="I39" s="152" t="s">
        <v>742</v>
      </c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3"/>
    </row>
    <row r="40" ht="13.5" customHeight="1">
      <c r="A40" s="148"/>
      <c r="B40" s="149"/>
      <c r="C40" s="150"/>
      <c r="D40" s="151" t="s">
        <v>773</v>
      </c>
      <c r="E40" s="145"/>
      <c r="F40" s="152"/>
      <c r="G40" s="152"/>
      <c r="H40" s="152"/>
      <c r="I40" s="152"/>
      <c r="J40" s="152" t="s">
        <v>742</v>
      </c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3"/>
    </row>
    <row r="41" ht="13.5" customHeight="1">
      <c r="A41" s="148"/>
      <c r="B41" s="149"/>
      <c r="C41" s="150"/>
      <c r="D41" s="151" t="s">
        <v>774</v>
      </c>
      <c r="E41" s="145"/>
      <c r="F41" s="152"/>
      <c r="G41" s="152"/>
      <c r="H41" s="152"/>
      <c r="I41" s="152"/>
      <c r="J41" s="152"/>
      <c r="K41" s="152" t="s">
        <v>742</v>
      </c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3"/>
    </row>
    <row r="42" ht="13.5" customHeight="1">
      <c r="A42" s="148"/>
      <c r="B42" s="149"/>
      <c r="C42" s="150"/>
      <c r="D42" s="151" t="s">
        <v>775</v>
      </c>
      <c r="E42" s="145"/>
      <c r="F42" s="152"/>
      <c r="G42" s="152"/>
      <c r="H42" s="152"/>
      <c r="I42" s="152"/>
      <c r="J42" s="152"/>
      <c r="K42" s="152"/>
      <c r="L42" s="152" t="s">
        <v>742</v>
      </c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3"/>
    </row>
    <row r="43" ht="13.5" customHeight="1">
      <c r="A43" s="148"/>
      <c r="B43" s="149"/>
      <c r="C43" s="150"/>
      <c r="D43" s="151" t="s">
        <v>776</v>
      </c>
      <c r="E43" s="145"/>
      <c r="F43" s="152"/>
      <c r="G43" s="152"/>
      <c r="H43" s="152"/>
      <c r="I43" s="152"/>
      <c r="J43" s="152"/>
      <c r="K43" s="152"/>
      <c r="L43" s="152"/>
      <c r="M43" s="152" t="s">
        <v>742</v>
      </c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3"/>
    </row>
    <row r="44" ht="13.5" customHeight="1">
      <c r="A44" s="148"/>
      <c r="B44" s="149"/>
      <c r="C44" s="150"/>
      <c r="D44" s="151" t="s">
        <v>777</v>
      </c>
      <c r="E44" s="145"/>
      <c r="F44" s="152"/>
      <c r="G44" s="152"/>
      <c r="H44" s="152"/>
      <c r="I44" s="152"/>
      <c r="J44" s="152"/>
      <c r="K44" s="152"/>
      <c r="L44" s="152"/>
      <c r="M44" s="152"/>
      <c r="N44" s="152" t="s">
        <v>742</v>
      </c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3"/>
    </row>
    <row r="45" ht="13.5" customHeight="1">
      <c r="A45" s="148"/>
      <c r="B45" s="149"/>
      <c r="C45" s="150"/>
      <c r="D45" s="151" t="s">
        <v>778</v>
      </c>
      <c r="E45" s="145"/>
      <c r="F45" s="152"/>
      <c r="G45" s="152"/>
      <c r="H45" s="152"/>
      <c r="I45" s="152"/>
      <c r="J45" s="152"/>
      <c r="K45" s="152"/>
      <c r="L45" s="152"/>
      <c r="M45" s="152"/>
      <c r="N45" s="152"/>
      <c r="O45" s="152" t="s">
        <v>742</v>
      </c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3"/>
    </row>
    <row r="46" ht="13.5" customHeight="1">
      <c r="A46" s="148"/>
      <c r="B46" s="149"/>
      <c r="C46" s="150"/>
      <c r="D46" s="151" t="s">
        <v>779</v>
      </c>
      <c r="E46" s="145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 t="s">
        <v>742</v>
      </c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3"/>
    </row>
    <row r="47" ht="13.5" customHeight="1">
      <c r="A47" s="148"/>
      <c r="B47" s="149"/>
      <c r="C47" s="150"/>
      <c r="D47" s="151" t="s">
        <v>780</v>
      </c>
      <c r="E47" s="145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 t="s">
        <v>742</v>
      </c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3"/>
    </row>
    <row r="48" ht="13.5" customHeight="1">
      <c r="A48" s="148"/>
      <c r="B48" s="149"/>
      <c r="C48" s="150"/>
      <c r="D48" s="151" t="s">
        <v>782</v>
      </c>
      <c r="E48" s="145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 t="s">
        <v>742</v>
      </c>
      <c r="S48" s="152"/>
      <c r="T48" s="152"/>
      <c r="U48" s="152"/>
      <c r="V48" s="152"/>
      <c r="W48" s="152"/>
      <c r="X48" s="152"/>
      <c r="Y48" s="152"/>
      <c r="Z48" s="152"/>
      <c r="AA48" s="152"/>
      <c r="AB48" s="153"/>
    </row>
    <row r="49" ht="13.5" customHeight="1">
      <c r="A49" s="148"/>
      <c r="B49" s="149"/>
      <c r="C49" s="150"/>
      <c r="D49" s="151" t="s">
        <v>784</v>
      </c>
      <c r="E49" s="145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 t="s">
        <v>742</v>
      </c>
      <c r="T49" s="152" t="s">
        <v>742</v>
      </c>
      <c r="U49" s="152"/>
      <c r="V49" s="152"/>
      <c r="W49" s="152"/>
      <c r="X49" s="152"/>
      <c r="Y49" s="152"/>
      <c r="Z49" s="152"/>
      <c r="AA49" s="152"/>
      <c r="AB49" s="153"/>
    </row>
    <row r="50" ht="13.5" customHeight="1">
      <c r="A50" s="148"/>
      <c r="B50" s="149"/>
      <c r="C50" s="150"/>
      <c r="D50" s="151" t="s">
        <v>785</v>
      </c>
      <c r="E50" s="145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 t="s">
        <v>742</v>
      </c>
      <c r="V50" s="152"/>
      <c r="W50" s="152"/>
      <c r="X50" s="152"/>
      <c r="Y50" s="152"/>
      <c r="Z50" s="152"/>
      <c r="AA50" s="152"/>
      <c r="AB50" s="153"/>
    </row>
    <row r="51" ht="13.5" customHeight="1">
      <c r="A51" s="148"/>
      <c r="B51" s="149"/>
      <c r="C51" s="150"/>
      <c r="D51" s="151" t="s">
        <v>787</v>
      </c>
      <c r="E51" s="145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 t="s">
        <v>742</v>
      </c>
      <c r="W51" s="152"/>
      <c r="X51" s="152"/>
      <c r="Y51" s="152"/>
      <c r="Z51" s="152"/>
      <c r="AA51" s="152"/>
      <c r="AB51" s="153"/>
    </row>
    <row r="52" ht="13.5" customHeight="1">
      <c r="A52" s="148"/>
      <c r="B52" s="149"/>
      <c r="C52" s="150"/>
      <c r="D52" s="151" t="s">
        <v>789</v>
      </c>
      <c r="E52" s="145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 t="s">
        <v>742</v>
      </c>
      <c r="X52" s="152" t="s">
        <v>742</v>
      </c>
      <c r="Y52" s="152"/>
      <c r="Z52" s="152"/>
      <c r="AA52" s="152"/>
      <c r="AB52" s="153"/>
    </row>
    <row r="53" ht="13.5" customHeight="1">
      <c r="A53" s="148"/>
      <c r="B53" s="149"/>
      <c r="C53" s="150"/>
      <c r="D53" s="151" t="s">
        <v>791</v>
      </c>
      <c r="E53" s="145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 t="s">
        <v>742</v>
      </c>
      <c r="Z53" s="152"/>
      <c r="AA53" s="152"/>
      <c r="AB53" s="153"/>
    </row>
    <row r="54" ht="13.5" customHeight="1">
      <c r="A54" s="148"/>
      <c r="B54" s="149"/>
      <c r="C54" s="150"/>
      <c r="D54" s="151" t="s">
        <v>793</v>
      </c>
      <c r="E54" s="145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 t="s">
        <v>742</v>
      </c>
      <c r="AA54" s="152" t="s">
        <v>742</v>
      </c>
      <c r="AB54" s="153" t="s">
        <v>742</v>
      </c>
    </row>
    <row r="55" ht="13.5" customHeight="1">
      <c r="A55" s="148"/>
      <c r="B55" s="154"/>
      <c r="C55" s="155"/>
      <c r="D55" s="156"/>
      <c r="E55" s="157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9"/>
    </row>
    <row r="56" ht="13.5" customHeight="1">
      <c r="A56" s="160" t="s">
        <v>802</v>
      </c>
      <c r="B56" s="161" t="s">
        <v>804</v>
      </c>
      <c r="C56" s="162"/>
      <c r="D56" s="163"/>
      <c r="E56" s="164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7"/>
    </row>
    <row r="57" ht="13.5" customHeight="1">
      <c r="A57" s="165"/>
      <c r="B57" s="166"/>
      <c r="C57" s="167"/>
      <c r="D57" s="168" t="s">
        <v>809</v>
      </c>
      <c r="E57" s="169"/>
      <c r="F57" s="152" t="s">
        <v>742</v>
      </c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3"/>
    </row>
    <row r="58" ht="13.5" customHeight="1">
      <c r="A58" s="165"/>
      <c r="B58" s="166"/>
      <c r="C58" s="167"/>
      <c r="D58" s="168" t="s">
        <v>811</v>
      </c>
      <c r="E58" s="169"/>
      <c r="F58" s="152" t="s">
        <v>742</v>
      </c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3"/>
    </row>
    <row r="59" ht="13.5" customHeight="1">
      <c r="A59" s="165"/>
      <c r="B59" s="166"/>
      <c r="C59" s="167"/>
      <c r="D59" s="168" t="s">
        <v>813</v>
      </c>
      <c r="E59" s="169"/>
      <c r="F59" s="152"/>
      <c r="G59" s="152" t="s">
        <v>742</v>
      </c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3"/>
    </row>
    <row r="60" ht="13.5" customHeight="1">
      <c r="A60" s="165"/>
      <c r="B60" s="166"/>
      <c r="C60" s="167"/>
      <c r="D60" s="168" t="s">
        <v>815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 t="s">
        <v>742</v>
      </c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3"/>
    </row>
    <row r="61" ht="13.5" customHeight="1">
      <c r="A61" s="165"/>
      <c r="B61" s="166"/>
      <c r="C61" s="167"/>
      <c r="D61" s="168" t="s">
        <v>817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 t="s">
        <v>742</v>
      </c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3"/>
    </row>
    <row r="62" ht="13.5" customHeight="1">
      <c r="A62" s="165"/>
      <c r="B62" s="166"/>
      <c r="C62" s="167"/>
      <c r="D62" s="168" t="s">
        <v>819</v>
      </c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 t="s">
        <v>742</v>
      </c>
      <c r="T62" s="152"/>
      <c r="U62" s="152"/>
      <c r="V62" s="152"/>
      <c r="W62" s="152"/>
      <c r="X62" s="152"/>
      <c r="Y62" s="152"/>
      <c r="Z62" s="152"/>
      <c r="AA62" s="152"/>
      <c r="AB62" s="153"/>
    </row>
    <row r="63" ht="13.5" customHeight="1">
      <c r="A63" s="165"/>
      <c r="B63" s="166"/>
      <c r="C63" s="167"/>
      <c r="D63" s="168" t="s">
        <v>821</v>
      </c>
      <c r="E63" s="169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 t="s">
        <v>742</v>
      </c>
      <c r="U63" s="152"/>
      <c r="V63" s="152"/>
      <c r="W63" s="152"/>
      <c r="X63" s="152"/>
      <c r="Y63" s="152"/>
      <c r="Z63" s="152"/>
      <c r="AA63" s="152"/>
      <c r="AB63" s="153"/>
    </row>
    <row r="64" ht="13.5" customHeight="1">
      <c r="A64" s="165"/>
      <c r="B64" s="166"/>
      <c r="C64" s="167"/>
      <c r="D64" s="168" t="s">
        <v>823</v>
      </c>
      <c r="E64" s="169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 t="s">
        <v>742</v>
      </c>
      <c r="AB64" s="153"/>
    </row>
    <row r="65" ht="13.5" customHeight="1">
      <c r="A65" s="165"/>
      <c r="B65" s="166" t="s">
        <v>825</v>
      </c>
      <c r="C65" s="167"/>
      <c r="D65" s="168"/>
      <c r="E65" s="169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3"/>
    </row>
    <row r="66" ht="13.5" customHeight="1">
      <c r="A66" s="165"/>
      <c r="B66" s="166"/>
      <c r="C66" s="167"/>
      <c r="D66" s="168" t="s">
        <v>827</v>
      </c>
      <c r="E66" s="169"/>
      <c r="F66" s="152"/>
      <c r="G66" s="152"/>
      <c r="H66" s="152" t="s">
        <v>742</v>
      </c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3"/>
    </row>
    <row r="67" ht="13.5" customHeight="1">
      <c r="A67" s="165"/>
      <c r="B67" s="166"/>
      <c r="C67" s="167"/>
      <c r="D67" s="168" t="s">
        <v>830</v>
      </c>
      <c r="E67" s="169"/>
      <c r="F67" s="152"/>
      <c r="G67" s="152"/>
      <c r="H67" s="152"/>
      <c r="I67" s="152" t="s">
        <v>742</v>
      </c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3"/>
    </row>
    <row r="68" ht="13.5" customHeight="1">
      <c r="A68" s="165"/>
      <c r="B68" s="166"/>
      <c r="C68" s="167"/>
      <c r="D68" s="168" t="s">
        <v>831</v>
      </c>
      <c r="E68" s="169"/>
      <c r="F68" s="152"/>
      <c r="G68" s="152"/>
      <c r="H68" s="152"/>
      <c r="I68" s="152"/>
      <c r="J68" s="152" t="s">
        <v>742</v>
      </c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3"/>
    </row>
    <row r="69" ht="13.5" customHeight="1">
      <c r="A69" s="165"/>
      <c r="B69" s="166"/>
      <c r="C69" s="167"/>
      <c r="D69" s="168" t="s">
        <v>832</v>
      </c>
      <c r="E69" s="169"/>
      <c r="F69" s="152"/>
      <c r="G69" s="152"/>
      <c r="H69" s="152"/>
      <c r="I69" s="152"/>
      <c r="J69" s="152"/>
      <c r="K69" s="152" t="s">
        <v>742</v>
      </c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3"/>
    </row>
    <row r="70" ht="13.5" customHeight="1">
      <c r="A70" s="165"/>
      <c r="B70" s="166"/>
      <c r="C70" s="167"/>
      <c r="D70" s="168" t="s">
        <v>833</v>
      </c>
      <c r="E70" s="169"/>
      <c r="F70" s="152"/>
      <c r="G70" s="152"/>
      <c r="H70" s="152"/>
      <c r="I70" s="152"/>
      <c r="J70" s="152"/>
      <c r="K70" s="152"/>
      <c r="L70" s="152" t="s">
        <v>742</v>
      </c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3"/>
    </row>
    <row r="71" ht="13.5" customHeight="1">
      <c r="A71" s="165"/>
      <c r="B71" s="166"/>
      <c r="C71" s="167"/>
      <c r="D71" s="168" t="s">
        <v>834</v>
      </c>
      <c r="E71" s="169"/>
      <c r="F71" s="152"/>
      <c r="G71" s="152"/>
      <c r="H71" s="152"/>
      <c r="I71" s="152"/>
      <c r="J71" s="152"/>
      <c r="K71" s="152"/>
      <c r="L71" s="152"/>
      <c r="M71" s="152" t="s">
        <v>742</v>
      </c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3"/>
    </row>
    <row r="72" ht="13.5" customHeight="1">
      <c r="A72" s="165"/>
      <c r="B72" s="166"/>
      <c r="C72" s="167"/>
      <c r="D72" s="168" t="s">
        <v>835</v>
      </c>
      <c r="E72" s="169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 t="s">
        <v>742</v>
      </c>
      <c r="Q72" s="152" t="s">
        <v>742</v>
      </c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3"/>
    </row>
    <row r="73" ht="13.5" customHeight="1">
      <c r="A73" s="165"/>
      <c r="B73" s="166"/>
      <c r="C73" s="167"/>
      <c r="D73" s="168" t="s">
        <v>837</v>
      </c>
      <c r="E73" s="169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 t="s">
        <v>742</v>
      </c>
      <c r="S73" s="152"/>
      <c r="T73" s="152"/>
      <c r="U73" s="152"/>
      <c r="V73" s="152"/>
      <c r="W73" s="152"/>
      <c r="X73" s="152"/>
      <c r="Y73" s="152"/>
      <c r="Z73" s="152"/>
      <c r="AA73" s="152"/>
      <c r="AB73" s="153"/>
    </row>
    <row r="74" ht="13.5" customHeight="1">
      <c r="A74" s="165"/>
      <c r="B74" s="166"/>
      <c r="C74" s="167"/>
      <c r="D74" s="168" t="s">
        <v>839</v>
      </c>
      <c r="E74" s="169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 t="s">
        <v>742</v>
      </c>
      <c r="V74" s="152"/>
      <c r="W74" s="152"/>
      <c r="X74" s="152"/>
      <c r="Y74" s="152"/>
      <c r="Z74" s="152"/>
      <c r="AA74" s="152"/>
      <c r="AB74" s="153"/>
    </row>
    <row r="75" ht="13.5" customHeight="1">
      <c r="A75" s="165"/>
      <c r="B75" s="166"/>
      <c r="C75" s="167"/>
      <c r="D75" s="168" t="s">
        <v>841</v>
      </c>
      <c r="E75" s="169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 t="s">
        <v>742</v>
      </c>
      <c r="W75" s="152"/>
      <c r="X75" s="152"/>
      <c r="Y75" s="152"/>
      <c r="Z75" s="152"/>
      <c r="AA75" s="152"/>
      <c r="AB75" s="153"/>
    </row>
    <row r="76" ht="13.5" customHeight="1">
      <c r="A76" s="165"/>
      <c r="B76" s="166"/>
      <c r="C76" s="167"/>
      <c r="D76" s="168" t="s">
        <v>843</v>
      </c>
      <c r="E76" s="169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 t="s">
        <v>742</v>
      </c>
      <c r="X76" s="152"/>
      <c r="Y76" s="152"/>
      <c r="Z76" s="152"/>
      <c r="AA76" s="152"/>
      <c r="AB76" s="153"/>
    </row>
    <row r="77" ht="13.5" customHeight="1">
      <c r="A77" s="165"/>
      <c r="B77" s="166"/>
      <c r="C77" s="167"/>
      <c r="D77" s="168" t="s">
        <v>846</v>
      </c>
      <c r="E77" s="169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 t="s">
        <v>742</v>
      </c>
      <c r="Y77" s="152"/>
      <c r="Z77" s="152"/>
      <c r="AA77" s="152"/>
      <c r="AB77" s="153"/>
    </row>
    <row r="78" ht="13.5" customHeight="1">
      <c r="A78" s="165"/>
      <c r="B78" s="166"/>
      <c r="C78" s="167"/>
      <c r="D78" s="168" t="s">
        <v>847</v>
      </c>
      <c r="E78" s="169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 t="s">
        <v>742</v>
      </c>
      <c r="Z78" s="152"/>
      <c r="AA78" s="152"/>
      <c r="AB78" s="153"/>
    </row>
    <row r="79" ht="13.5" customHeight="1">
      <c r="A79" s="165"/>
      <c r="B79" s="166"/>
      <c r="C79" s="167"/>
      <c r="D79" s="168" t="s">
        <v>849</v>
      </c>
      <c r="E79" s="169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 t="s">
        <v>742</v>
      </c>
      <c r="AA79" s="152"/>
      <c r="AB79" s="153"/>
    </row>
    <row r="80" ht="13.5" customHeight="1">
      <c r="A80" s="165"/>
      <c r="B80" s="166"/>
      <c r="C80" s="167"/>
      <c r="D80" s="168" t="s">
        <v>851</v>
      </c>
      <c r="E80" s="169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3" t="s">
        <v>742</v>
      </c>
    </row>
    <row r="81" ht="13.5" customHeight="1">
      <c r="A81" s="165"/>
      <c r="B81" s="166" t="s">
        <v>854</v>
      </c>
      <c r="C81" s="167"/>
      <c r="D81" s="168"/>
      <c r="E81" s="169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3"/>
    </row>
    <row r="82" ht="13.5" customHeight="1">
      <c r="A82" s="165"/>
      <c r="B82" s="166"/>
      <c r="C82" s="167"/>
      <c r="D82" s="168" t="s">
        <v>856</v>
      </c>
      <c r="E82" s="169"/>
      <c r="F82" s="152" t="s">
        <v>742</v>
      </c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3"/>
    </row>
    <row r="83" ht="13.5" customHeight="1">
      <c r="A83" s="165"/>
      <c r="B83" s="166"/>
      <c r="C83" s="167"/>
      <c r="D83" s="168" t="s">
        <v>857</v>
      </c>
      <c r="E83" s="169"/>
      <c r="F83" s="152"/>
      <c r="G83" s="152" t="s">
        <v>742</v>
      </c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3"/>
    </row>
    <row r="84" ht="13.5" customHeight="1">
      <c r="A84" s="165"/>
      <c r="B84" s="166"/>
      <c r="C84" s="167"/>
      <c r="D84" s="168" t="s">
        <v>859</v>
      </c>
      <c r="E84" s="169"/>
      <c r="F84" s="152"/>
      <c r="G84" s="152"/>
      <c r="H84" s="152"/>
      <c r="I84" s="152"/>
      <c r="J84" s="152"/>
      <c r="K84" s="152"/>
      <c r="L84" s="152"/>
      <c r="M84" s="152"/>
      <c r="N84" s="152" t="s">
        <v>742</v>
      </c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3"/>
    </row>
    <row r="85" ht="13.5" customHeight="1">
      <c r="A85" s="165"/>
      <c r="B85" s="166"/>
      <c r="C85" s="167"/>
      <c r="D85" s="168" t="s">
        <v>862</v>
      </c>
      <c r="E85" s="169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 t="s">
        <v>742</v>
      </c>
      <c r="T85" s="152"/>
      <c r="U85" s="152"/>
      <c r="V85" s="152"/>
      <c r="W85" s="152"/>
      <c r="X85" s="152"/>
      <c r="Y85" s="152"/>
      <c r="Z85" s="152"/>
      <c r="AA85" s="152"/>
      <c r="AB85" s="153"/>
    </row>
    <row r="86" ht="13.5" customHeight="1">
      <c r="A86" s="165"/>
      <c r="B86" s="166"/>
      <c r="C86" s="167"/>
      <c r="D86" s="168" t="s">
        <v>863</v>
      </c>
      <c r="E86" s="169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 t="s">
        <v>742</v>
      </c>
      <c r="AB86" s="153"/>
    </row>
    <row r="87" ht="13.5" customHeight="1">
      <c r="A87" s="165"/>
      <c r="B87" s="170"/>
      <c r="C87" s="171"/>
      <c r="D87" s="172"/>
      <c r="E87" s="173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5"/>
    </row>
    <row r="88" ht="13.5" customHeight="1">
      <c r="A88" s="160" t="s">
        <v>865</v>
      </c>
      <c r="B88" s="176" t="s">
        <v>866</v>
      </c>
      <c r="C88" s="177"/>
      <c r="D88" s="178"/>
      <c r="E88" s="179"/>
      <c r="F88" s="180" t="s">
        <v>54</v>
      </c>
      <c r="G88" s="180" t="s">
        <v>54</v>
      </c>
      <c r="H88" s="180" t="s">
        <v>55</v>
      </c>
      <c r="I88" s="180" t="s">
        <v>55</v>
      </c>
      <c r="J88" s="180" t="s">
        <v>55</v>
      </c>
      <c r="K88" s="180" t="s">
        <v>55</v>
      </c>
      <c r="L88" s="180" t="s">
        <v>55</v>
      </c>
      <c r="M88" s="180" t="s">
        <v>55</v>
      </c>
      <c r="N88" s="180" t="s">
        <v>54</v>
      </c>
      <c r="O88" s="180" t="s">
        <v>57</v>
      </c>
      <c r="P88" s="180" t="s">
        <v>57</v>
      </c>
      <c r="Q88" s="180" t="s">
        <v>57</v>
      </c>
      <c r="R88" s="180" t="s">
        <v>55</v>
      </c>
      <c r="S88" s="180" t="s">
        <v>54</v>
      </c>
      <c r="T88" s="180" t="s">
        <v>54</v>
      </c>
      <c r="U88" s="180" t="s">
        <v>55</v>
      </c>
      <c r="V88" s="180" t="s">
        <v>57</v>
      </c>
      <c r="W88" s="180" t="s">
        <v>55</v>
      </c>
      <c r="X88" s="180" t="s">
        <v>55</v>
      </c>
      <c r="Y88" s="180" t="s">
        <v>55</v>
      </c>
      <c r="Z88" s="180" t="s">
        <v>55</v>
      </c>
      <c r="AA88" s="180" t="s">
        <v>57</v>
      </c>
      <c r="AB88" s="181" t="s">
        <v>55</v>
      </c>
    </row>
    <row r="89" ht="13.5" customHeight="1">
      <c r="A89" s="165"/>
      <c r="B89" s="182" t="s">
        <v>867</v>
      </c>
      <c r="C89" s="27"/>
      <c r="D89" s="25"/>
      <c r="E89" s="183"/>
      <c r="F89" s="184" t="s">
        <v>868</v>
      </c>
      <c r="G89" s="184" t="s">
        <v>868</v>
      </c>
      <c r="H89" s="184" t="s">
        <v>868</v>
      </c>
      <c r="I89" s="184" t="s">
        <v>868</v>
      </c>
      <c r="J89" s="184" t="s">
        <v>868</v>
      </c>
      <c r="K89" s="184" t="s">
        <v>868</v>
      </c>
      <c r="L89" s="184" t="s">
        <v>868</v>
      </c>
      <c r="M89" s="184" t="s">
        <v>868</v>
      </c>
      <c r="N89" s="184" t="s">
        <v>868</v>
      </c>
      <c r="O89" s="184" t="s">
        <v>868</v>
      </c>
      <c r="P89" s="184" t="s">
        <v>868</v>
      </c>
      <c r="Q89" s="184" t="s">
        <v>868</v>
      </c>
      <c r="R89" s="184" t="s">
        <v>868</v>
      </c>
      <c r="S89" s="184" t="s">
        <v>868</v>
      </c>
      <c r="T89" s="184" t="s">
        <v>868</v>
      </c>
      <c r="U89" s="184" t="s">
        <v>868</v>
      </c>
      <c r="V89" s="184" t="s">
        <v>868</v>
      </c>
      <c r="W89" s="184" t="s">
        <v>868</v>
      </c>
      <c r="X89" s="184" t="s">
        <v>868</v>
      </c>
      <c r="Y89" s="184" t="s">
        <v>868</v>
      </c>
      <c r="Z89" s="184" t="s">
        <v>868</v>
      </c>
      <c r="AA89" s="184" t="s">
        <v>868</v>
      </c>
      <c r="AB89" s="185" t="s">
        <v>868</v>
      </c>
    </row>
    <row r="90" ht="99.75" customHeight="1">
      <c r="A90" s="165"/>
      <c r="B90" s="186" t="s">
        <v>869</v>
      </c>
      <c r="C90" s="27"/>
      <c r="D90" s="25"/>
      <c r="E90" s="169"/>
      <c r="F90" s="187">
        <v>46206.0</v>
      </c>
      <c r="G90" s="187">
        <v>46206.0</v>
      </c>
      <c r="H90" s="187">
        <v>46206.0</v>
      </c>
      <c r="I90" s="187">
        <v>46206.0</v>
      </c>
      <c r="J90" s="187">
        <v>46206.0</v>
      </c>
      <c r="K90" s="187">
        <v>46206.0</v>
      </c>
      <c r="L90" s="187">
        <v>46206.0</v>
      </c>
      <c r="M90" s="187">
        <v>46206.0</v>
      </c>
      <c r="N90" s="187">
        <v>46206.0</v>
      </c>
      <c r="O90" s="187">
        <v>46206.0</v>
      </c>
      <c r="P90" s="187">
        <v>46206.0</v>
      </c>
      <c r="Q90" s="187">
        <v>46206.0</v>
      </c>
      <c r="R90" s="187">
        <v>46206.0</v>
      </c>
      <c r="S90" s="187">
        <v>46206.0</v>
      </c>
      <c r="T90" s="187">
        <v>46206.0</v>
      </c>
      <c r="U90" s="187">
        <v>46206.0</v>
      </c>
      <c r="V90" s="187">
        <v>46206.0</v>
      </c>
      <c r="W90" s="187">
        <v>46206.0</v>
      </c>
      <c r="X90" s="187">
        <v>46206.0</v>
      </c>
      <c r="Y90" s="187">
        <v>46206.0</v>
      </c>
      <c r="Z90" s="187">
        <v>46206.0</v>
      </c>
      <c r="AA90" s="187">
        <v>46206.0</v>
      </c>
      <c r="AB90" s="189">
        <v>46206.0</v>
      </c>
    </row>
    <row r="91" ht="72.75" customHeight="1">
      <c r="A91" s="190"/>
      <c r="B91" s="191" t="s">
        <v>870</v>
      </c>
      <c r="C91" s="192"/>
      <c r="D91" s="193"/>
      <c r="E91" s="194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AB4"/>
    <mergeCell ref="C5:AB5"/>
    <mergeCell ref="A2:B2"/>
    <mergeCell ref="C2:E2"/>
    <mergeCell ref="F2:K2"/>
    <mergeCell ref="L2:AB2"/>
    <mergeCell ref="C3:E3"/>
    <mergeCell ref="F3:K3"/>
    <mergeCell ref="L3:AB3"/>
    <mergeCell ref="F6:K6"/>
    <mergeCell ref="L6:N6"/>
    <mergeCell ref="O6:AB6"/>
    <mergeCell ref="A7:B7"/>
    <mergeCell ref="C7:E7"/>
    <mergeCell ref="F7:K7"/>
    <mergeCell ref="O7:AB7"/>
    <mergeCell ref="B88:D88"/>
    <mergeCell ref="B89:D89"/>
    <mergeCell ref="B90:D90"/>
    <mergeCell ref="B91:D91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120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92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159.0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763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COUNTIF(F65:T65,"P")</f>
        <v>14</v>
      </c>
      <c r="B7" s="130"/>
      <c r="C7" s="131">
        <f>COUNTIF(F65:T65,"F")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COUNTIF(F64:T64,"N")</f>
        <v>4</v>
      </c>
      <c r="M7" s="132">
        <f>COUNTIF(F64:T64,"A")</f>
        <v>10</v>
      </c>
      <c r="N7" s="132">
        <f>COUNTIF(F64:T64,"B")</f>
        <v>0</v>
      </c>
      <c r="O7" s="133">
        <f>COUNTA(F9:T9)</f>
        <v>14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781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783</v>
      </c>
      <c r="E12" s="145"/>
      <c r="F12" s="152" t="s">
        <v>742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762</v>
      </c>
      <c r="E13" s="145"/>
      <c r="F13" s="152"/>
      <c r="G13" s="152" t="s">
        <v>742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786</v>
      </c>
      <c r="E14" s="145"/>
      <c r="F14" s="152"/>
      <c r="G14" s="152"/>
      <c r="H14" s="152" t="s">
        <v>742</v>
      </c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788</v>
      </c>
      <c r="E15" s="145"/>
      <c r="F15" s="152"/>
      <c r="G15" s="152"/>
      <c r="H15" s="152" t="s">
        <v>742</v>
      </c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790</v>
      </c>
      <c r="E16" s="145"/>
      <c r="F16" s="152"/>
      <c r="G16" s="152"/>
      <c r="H16" s="152"/>
      <c r="I16" s="152" t="s">
        <v>742</v>
      </c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792</v>
      </c>
      <c r="E17" s="145"/>
      <c r="F17" s="152"/>
      <c r="G17" s="152"/>
      <c r="H17" s="152"/>
      <c r="I17" s="152" t="s">
        <v>742</v>
      </c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794</v>
      </c>
      <c r="E18" s="145"/>
      <c r="F18" s="152"/>
      <c r="G18" s="152"/>
      <c r="H18" s="152"/>
      <c r="I18" s="152"/>
      <c r="J18" s="152" t="s">
        <v>742</v>
      </c>
      <c r="K18" s="152"/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795</v>
      </c>
      <c r="E19" s="145"/>
      <c r="F19" s="152"/>
      <c r="G19" s="152"/>
      <c r="H19" s="152"/>
      <c r="I19" s="152"/>
      <c r="J19" s="152" t="s">
        <v>742</v>
      </c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796</v>
      </c>
      <c r="E20" s="145"/>
      <c r="F20" s="152"/>
      <c r="G20" s="152"/>
      <c r="H20" s="152"/>
      <c r="I20" s="152"/>
      <c r="J20" s="152"/>
      <c r="K20" s="152" t="s">
        <v>742</v>
      </c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797</v>
      </c>
      <c r="E21" s="145"/>
      <c r="F21" s="152"/>
      <c r="G21" s="152"/>
      <c r="H21" s="152"/>
      <c r="I21" s="152"/>
      <c r="J21" s="152"/>
      <c r="K21" s="152" t="s">
        <v>742</v>
      </c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798</v>
      </c>
      <c r="E22" s="145"/>
      <c r="F22" s="152"/>
      <c r="G22" s="152"/>
      <c r="H22" s="152"/>
      <c r="I22" s="152"/>
      <c r="J22" s="152"/>
      <c r="K22" s="152"/>
      <c r="L22" s="152" t="s">
        <v>742</v>
      </c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799</v>
      </c>
      <c r="E23" s="145"/>
      <c r="F23" s="152"/>
      <c r="G23" s="152"/>
      <c r="H23" s="152"/>
      <c r="I23" s="152"/>
      <c r="J23" s="152"/>
      <c r="K23" s="152"/>
      <c r="L23" s="152"/>
      <c r="M23" s="152" t="s">
        <v>742</v>
      </c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800</v>
      </c>
      <c r="E24" s="145"/>
      <c r="F24" s="152"/>
      <c r="G24" s="152"/>
      <c r="H24" s="152"/>
      <c r="I24" s="152"/>
      <c r="J24" s="152"/>
      <c r="K24" s="152"/>
      <c r="L24" s="152"/>
      <c r="M24" s="152" t="s">
        <v>742</v>
      </c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801</v>
      </c>
      <c r="E25" s="145"/>
      <c r="F25" s="152"/>
      <c r="G25" s="152"/>
      <c r="H25" s="152"/>
      <c r="I25" s="152"/>
      <c r="J25" s="152"/>
      <c r="K25" s="152"/>
      <c r="L25" s="152"/>
      <c r="M25" s="152" t="s">
        <v>742</v>
      </c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803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 t="s">
        <v>742</v>
      </c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805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 t="s">
        <v>742</v>
      </c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806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 t="s">
        <v>742</v>
      </c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807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 t="s">
        <v>742</v>
      </c>
      <c r="R29" s="152"/>
      <c r="S29" s="152"/>
      <c r="T29" s="153"/>
    </row>
    <row r="30" ht="13.5" customHeight="1">
      <c r="A30" s="148"/>
      <c r="B30" s="149"/>
      <c r="C30" s="150"/>
      <c r="D30" s="151" t="s">
        <v>808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 t="s">
        <v>742</v>
      </c>
      <c r="S30" s="152"/>
      <c r="T30" s="153"/>
    </row>
    <row r="31" ht="13.5" customHeight="1">
      <c r="A31" s="148"/>
      <c r="B31" s="149"/>
      <c r="C31" s="150"/>
      <c r="D31" s="151" t="s">
        <v>810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 t="s">
        <v>742</v>
      </c>
      <c r="T31" s="153"/>
    </row>
    <row r="32" ht="13.5" customHeight="1">
      <c r="A32" s="148"/>
      <c r="B32" s="149" t="s">
        <v>768</v>
      </c>
      <c r="C32" s="150"/>
      <c r="D32" s="151"/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48"/>
      <c r="B33" s="149"/>
      <c r="C33" s="150"/>
      <c r="D33" s="151" t="s">
        <v>812</v>
      </c>
      <c r="E33" s="145"/>
      <c r="F33" s="152" t="s">
        <v>742</v>
      </c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48"/>
      <c r="B34" s="149"/>
      <c r="C34" s="150"/>
      <c r="D34" s="151" t="s">
        <v>814</v>
      </c>
      <c r="E34" s="145"/>
      <c r="F34" s="152"/>
      <c r="G34" s="152" t="s">
        <v>742</v>
      </c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48"/>
      <c r="B35" s="149"/>
      <c r="C35" s="150"/>
      <c r="D35" s="151" t="s">
        <v>816</v>
      </c>
      <c r="E35" s="145"/>
      <c r="F35" s="152"/>
      <c r="G35" s="152"/>
      <c r="H35" s="152" t="s">
        <v>742</v>
      </c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48"/>
      <c r="B36" s="149"/>
      <c r="C36" s="150"/>
      <c r="D36" s="151" t="s">
        <v>818</v>
      </c>
      <c r="E36" s="145"/>
      <c r="F36" s="152"/>
      <c r="G36" s="152"/>
      <c r="H36" s="152"/>
      <c r="I36" s="152" t="s">
        <v>742</v>
      </c>
      <c r="J36" s="152" t="s">
        <v>742</v>
      </c>
      <c r="K36" s="152" t="s">
        <v>742</v>
      </c>
      <c r="L36" s="152" t="s">
        <v>742</v>
      </c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48"/>
      <c r="B37" s="149"/>
      <c r="C37" s="150"/>
      <c r="D37" s="151" t="s">
        <v>820</v>
      </c>
      <c r="E37" s="145"/>
      <c r="F37" s="152"/>
      <c r="G37" s="152"/>
      <c r="H37" s="152"/>
      <c r="I37" s="152"/>
      <c r="J37" s="152"/>
      <c r="K37" s="152"/>
      <c r="L37" s="152"/>
      <c r="M37" s="152" t="s">
        <v>742</v>
      </c>
      <c r="N37" s="152"/>
      <c r="O37" s="152"/>
      <c r="P37" s="152"/>
      <c r="Q37" s="152"/>
      <c r="R37" s="152"/>
      <c r="S37" s="152"/>
      <c r="T37" s="153"/>
    </row>
    <row r="38" ht="13.5" customHeight="1">
      <c r="A38" s="148"/>
      <c r="B38" s="149"/>
      <c r="C38" s="150"/>
      <c r="D38" s="151" t="s">
        <v>822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 t="s">
        <v>742</v>
      </c>
      <c r="O38" s="152"/>
      <c r="P38" s="152"/>
      <c r="Q38" s="152"/>
      <c r="R38" s="152"/>
      <c r="S38" s="152"/>
      <c r="T38" s="153"/>
    </row>
    <row r="39" ht="13.5" customHeight="1">
      <c r="A39" s="148"/>
      <c r="B39" s="149"/>
      <c r="C39" s="150"/>
      <c r="D39" s="151" t="s">
        <v>824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 t="s">
        <v>742</v>
      </c>
      <c r="P39" s="152"/>
      <c r="Q39" s="152"/>
      <c r="R39" s="152"/>
      <c r="S39" s="152"/>
      <c r="T39" s="153"/>
    </row>
    <row r="40" ht="13.5" customHeight="1">
      <c r="A40" s="148"/>
      <c r="B40" s="149"/>
      <c r="C40" s="150"/>
      <c r="D40" s="151" t="s">
        <v>826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 t="s">
        <v>742</v>
      </c>
      <c r="Q40" s="152"/>
      <c r="R40" s="152"/>
      <c r="S40" s="152"/>
      <c r="T40" s="153"/>
    </row>
    <row r="41" ht="13.5" customHeight="1">
      <c r="A41" s="148"/>
      <c r="B41" s="149"/>
      <c r="C41" s="150"/>
      <c r="D41" s="151" t="s">
        <v>828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 t="s">
        <v>742</v>
      </c>
      <c r="R41" s="152"/>
      <c r="S41" s="152"/>
      <c r="T41" s="153"/>
    </row>
    <row r="42" ht="13.5" customHeight="1">
      <c r="A42" s="148"/>
      <c r="B42" s="149"/>
      <c r="C42" s="150"/>
      <c r="D42" s="151" t="s">
        <v>829</v>
      </c>
      <c r="E42" s="145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 t="s">
        <v>742</v>
      </c>
      <c r="S42" s="152"/>
      <c r="T42" s="153"/>
    </row>
    <row r="43" ht="13.5" customHeight="1">
      <c r="A43" s="148"/>
      <c r="B43" s="149"/>
      <c r="C43" s="150"/>
      <c r="D43" s="151" t="s">
        <v>793</v>
      </c>
      <c r="E43" s="145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 t="s">
        <v>742</v>
      </c>
      <c r="T43" s="153"/>
    </row>
    <row r="44" ht="13.5" customHeight="1">
      <c r="A44" s="148"/>
      <c r="B44" s="154"/>
      <c r="C44" s="155"/>
      <c r="D44" s="156"/>
      <c r="E44" s="157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9"/>
    </row>
    <row r="45" ht="13.5" customHeight="1">
      <c r="A45" s="160" t="s">
        <v>802</v>
      </c>
      <c r="B45" s="161" t="s">
        <v>804</v>
      </c>
      <c r="C45" s="162"/>
      <c r="D45" s="163"/>
      <c r="E45" s="164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7"/>
    </row>
    <row r="46" ht="13.5" customHeight="1">
      <c r="A46" s="165"/>
      <c r="B46" s="166"/>
      <c r="C46" s="167"/>
      <c r="D46" s="168" t="s">
        <v>836</v>
      </c>
      <c r="E46" s="169"/>
      <c r="F46" s="152" t="s">
        <v>742</v>
      </c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3"/>
    </row>
    <row r="47" ht="13.5" customHeight="1">
      <c r="A47" s="165"/>
      <c r="B47" s="166"/>
      <c r="C47" s="167"/>
      <c r="D47" s="168" t="s">
        <v>838</v>
      </c>
      <c r="E47" s="169"/>
      <c r="F47" s="152" t="s">
        <v>742</v>
      </c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3"/>
    </row>
    <row r="48" ht="13.5" customHeight="1">
      <c r="A48" s="165"/>
      <c r="B48" s="166"/>
      <c r="C48" s="167"/>
      <c r="D48" s="168" t="s">
        <v>840</v>
      </c>
      <c r="E48" s="169"/>
      <c r="F48" s="152"/>
      <c r="G48" s="152"/>
      <c r="H48" s="152"/>
      <c r="I48" s="152"/>
      <c r="J48" s="152"/>
      <c r="K48" s="152"/>
      <c r="L48" s="152"/>
      <c r="M48" s="152" t="s">
        <v>742</v>
      </c>
      <c r="N48" s="152"/>
      <c r="O48" s="152"/>
      <c r="P48" s="152"/>
      <c r="Q48" s="152"/>
      <c r="R48" s="152"/>
      <c r="S48" s="152"/>
      <c r="T48" s="153"/>
    </row>
    <row r="49" ht="13.5" customHeight="1">
      <c r="A49" s="165"/>
      <c r="B49" s="166"/>
      <c r="C49" s="167"/>
      <c r="D49" s="168" t="s">
        <v>842</v>
      </c>
      <c r="E49" s="169"/>
      <c r="F49" s="152"/>
      <c r="G49" s="152"/>
      <c r="H49" s="152"/>
      <c r="I49" s="152"/>
      <c r="J49" s="152"/>
      <c r="K49" s="152"/>
      <c r="L49" s="152"/>
      <c r="M49" s="152" t="s">
        <v>742</v>
      </c>
      <c r="N49" s="152"/>
      <c r="O49" s="152"/>
      <c r="P49" s="152"/>
      <c r="Q49" s="152"/>
      <c r="R49" s="152"/>
      <c r="S49" s="152"/>
      <c r="T49" s="153"/>
    </row>
    <row r="50" ht="13.5" customHeight="1">
      <c r="A50" s="165"/>
      <c r="B50" s="166"/>
      <c r="C50" s="167"/>
      <c r="D50" s="168" t="s">
        <v>844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 t="s">
        <v>742</v>
      </c>
      <c r="R50" s="152"/>
      <c r="S50" s="152"/>
      <c r="T50" s="153"/>
    </row>
    <row r="51" ht="13.5" customHeight="1">
      <c r="A51" s="165"/>
      <c r="B51" s="166"/>
      <c r="C51" s="167"/>
      <c r="D51" s="168" t="s">
        <v>845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 t="s">
        <v>742</v>
      </c>
      <c r="T51" s="153"/>
    </row>
    <row r="52" ht="13.5" customHeight="1">
      <c r="A52" s="165"/>
      <c r="B52" s="166" t="s">
        <v>825</v>
      </c>
      <c r="C52" s="167"/>
      <c r="D52" s="168"/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3"/>
    </row>
    <row r="53" ht="13.5" customHeight="1">
      <c r="A53" s="165"/>
      <c r="B53" s="166"/>
      <c r="C53" s="167"/>
      <c r="D53" s="168" t="s">
        <v>848</v>
      </c>
      <c r="E53" s="169"/>
      <c r="F53" s="152"/>
      <c r="G53" s="152" t="s">
        <v>742</v>
      </c>
      <c r="H53" s="152" t="s">
        <v>742</v>
      </c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3"/>
    </row>
    <row r="54" ht="13.5" customHeight="1">
      <c r="A54" s="165"/>
      <c r="B54" s="166"/>
      <c r="C54" s="167"/>
      <c r="D54" s="168" t="s">
        <v>850</v>
      </c>
      <c r="E54" s="169"/>
      <c r="F54" s="152"/>
      <c r="G54" s="152"/>
      <c r="H54" s="152"/>
      <c r="I54" s="152" t="s">
        <v>742</v>
      </c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3"/>
    </row>
    <row r="55" ht="13.5" customHeight="1">
      <c r="A55" s="165"/>
      <c r="B55" s="166"/>
      <c r="C55" s="167"/>
      <c r="D55" s="168" t="s">
        <v>852</v>
      </c>
      <c r="E55" s="169"/>
      <c r="F55" s="152"/>
      <c r="G55" s="152"/>
      <c r="H55" s="152"/>
      <c r="I55" s="152"/>
      <c r="J55" s="152" t="s">
        <v>742</v>
      </c>
      <c r="K55" s="152"/>
      <c r="L55" s="152"/>
      <c r="M55" s="152"/>
      <c r="N55" s="152"/>
      <c r="O55" s="152"/>
      <c r="P55" s="152"/>
      <c r="Q55" s="152"/>
      <c r="R55" s="152"/>
      <c r="S55" s="152"/>
      <c r="T55" s="153"/>
    </row>
    <row r="56" ht="13.5" customHeight="1">
      <c r="A56" s="165"/>
      <c r="B56" s="166"/>
      <c r="C56" s="167"/>
      <c r="D56" s="168" t="s">
        <v>853</v>
      </c>
      <c r="E56" s="169"/>
      <c r="F56" s="152"/>
      <c r="G56" s="152"/>
      <c r="H56" s="152"/>
      <c r="I56" s="152"/>
      <c r="J56" s="152"/>
      <c r="K56" s="152" t="s">
        <v>742</v>
      </c>
      <c r="L56" s="152"/>
      <c r="M56" s="152"/>
      <c r="N56" s="152"/>
      <c r="O56" s="152"/>
      <c r="P56" s="152"/>
      <c r="Q56" s="152"/>
      <c r="R56" s="152"/>
      <c r="S56" s="152"/>
      <c r="T56" s="153"/>
    </row>
    <row r="57" ht="13.5" customHeight="1">
      <c r="A57" s="165"/>
      <c r="B57" s="166"/>
      <c r="C57" s="167"/>
      <c r="D57" s="168" t="s">
        <v>855</v>
      </c>
      <c r="E57" s="169"/>
      <c r="F57" s="152"/>
      <c r="G57" s="152"/>
      <c r="H57" s="152"/>
      <c r="I57" s="152"/>
      <c r="J57" s="152"/>
      <c r="K57" s="152"/>
      <c r="L57" s="152" t="s">
        <v>742</v>
      </c>
      <c r="M57" s="152"/>
      <c r="N57" s="152"/>
      <c r="O57" s="152"/>
      <c r="P57" s="152"/>
      <c r="Q57" s="152"/>
      <c r="R57" s="152"/>
      <c r="S57" s="152"/>
      <c r="T57" s="153"/>
    </row>
    <row r="58" ht="13.5" customHeight="1">
      <c r="A58" s="165"/>
      <c r="B58" s="166"/>
      <c r="C58" s="167"/>
      <c r="D58" s="168" t="s">
        <v>858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 t="s">
        <v>742</v>
      </c>
      <c r="O58" s="152"/>
      <c r="P58" s="152"/>
      <c r="Q58" s="152"/>
      <c r="R58" s="152"/>
      <c r="S58" s="152"/>
      <c r="T58" s="153"/>
    </row>
    <row r="59" ht="13.5" customHeight="1">
      <c r="A59" s="165"/>
      <c r="B59" s="166"/>
      <c r="C59" s="167"/>
      <c r="D59" s="168" t="s">
        <v>860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 t="s">
        <v>742</v>
      </c>
      <c r="P59" s="152" t="s">
        <v>742</v>
      </c>
      <c r="Q59" s="152"/>
      <c r="R59" s="152"/>
      <c r="S59" s="152"/>
      <c r="T59" s="153"/>
    </row>
    <row r="60" ht="13.5" customHeight="1">
      <c r="A60" s="165"/>
      <c r="B60" s="166"/>
      <c r="C60" s="167"/>
      <c r="D60" s="168" t="s">
        <v>861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 t="s">
        <v>742</v>
      </c>
      <c r="S60" s="152"/>
      <c r="T60" s="153"/>
    </row>
    <row r="61" ht="13.5" customHeight="1">
      <c r="A61" s="165"/>
      <c r="B61" s="166" t="s">
        <v>854</v>
      </c>
      <c r="C61" s="167"/>
      <c r="D61" s="168"/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3"/>
    </row>
    <row r="62" ht="13.5" customHeight="1">
      <c r="A62" s="165"/>
      <c r="B62" s="166"/>
      <c r="C62" s="167"/>
      <c r="D62" s="168" t="s">
        <v>864</v>
      </c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 t="s">
        <v>742</v>
      </c>
      <c r="P62" s="152"/>
      <c r="Q62" s="152"/>
      <c r="R62" s="152"/>
      <c r="S62" s="152"/>
      <c r="T62" s="153"/>
    </row>
    <row r="63" ht="13.5" customHeight="1">
      <c r="A63" s="165"/>
      <c r="B63" s="170"/>
      <c r="C63" s="171"/>
      <c r="D63" s="172"/>
      <c r="E63" s="173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5"/>
    </row>
    <row r="64" ht="13.5" customHeight="1">
      <c r="A64" s="160" t="s">
        <v>865</v>
      </c>
      <c r="B64" s="176" t="s">
        <v>866</v>
      </c>
      <c r="C64" s="177"/>
      <c r="D64" s="178"/>
      <c r="E64" s="179"/>
      <c r="F64" s="180" t="s">
        <v>54</v>
      </c>
      <c r="G64" s="180" t="s">
        <v>55</v>
      </c>
      <c r="H64" s="180" t="s">
        <v>55</v>
      </c>
      <c r="I64" s="180" t="s">
        <v>55</v>
      </c>
      <c r="J64" s="180" t="s">
        <v>55</v>
      </c>
      <c r="K64" s="180" t="s">
        <v>55</v>
      </c>
      <c r="L64" s="180" t="s">
        <v>55</v>
      </c>
      <c r="M64" s="180" t="s">
        <v>54</v>
      </c>
      <c r="N64" s="180" t="s">
        <v>55</v>
      </c>
      <c r="O64" s="180" t="s">
        <v>55</v>
      </c>
      <c r="P64" s="180" t="s">
        <v>55</v>
      </c>
      <c r="Q64" s="180" t="s">
        <v>54</v>
      </c>
      <c r="R64" s="180" t="s">
        <v>55</v>
      </c>
      <c r="S64" s="180" t="s">
        <v>54</v>
      </c>
      <c r="T64" s="181"/>
    </row>
    <row r="65" ht="13.5" customHeight="1">
      <c r="A65" s="165"/>
      <c r="B65" s="182" t="s">
        <v>867</v>
      </c>
      <c r="C65" s="27"/>
      <c r="D65" s="25"/>
      <c r="E65" s="183"/>
      <c r="F65" s="184" t="s">
        <v>868</v>
      </c>
      <c r="G65" s="184" t="s">
        <v>868</v>
      </c>
      <c r="H65" s="184" t="s">
        <v>868</v>
      </c>
      <c r="I65" s="184" t="s">
        <v>868</v>
      </c>
      <c r="J65" s="184" t="s">
        <v>868</v>
      </c>
      <c r="K65" s="184" t="s">
        <v>868</v>
      </c>
      <c r="L65" s="184" t="s">
        <v>868</v>
      </c>
      <c r="M65" s="184" t="s">
        <v>868</v>
      </c>
      <c r="N65" s="184" t="s">
        <v>868</v>
      </c>
      <c r="O65" s="184" t="s">
        <v>868</v>
      </c>
      <c r="P65" s="184" t="s">
        <v>868</v>
      </c>
      <c r="Q65" s="184" t="s">
        <v>868</v>
      </c>
      <c r="R65" s="184" t="s">
        <v>868</v>
      </c>
      <c r="S65" s="184" t="s">
        <v>868</v>
      </c>
      <c r="T65" s="185"/>
    </row>
    <row r="66" ht="99.75" customHeight="1">
      <c r="A66" s="165"/>
      <c r="B66" s="186" t="s">
        <v>869</v>
      </c>
      <c r="C66" s="27"/>
      <c r="D66" s="25"/>
      <c r="E66" s="169"/>
      <c r="F66" s="187">
        <v>46209.0</v>
      </c>
      <c r="G66" s="187">
        <v>46209.0</v>
      </c>
      <c r="H66" s="187">
        <v>46209.0</v>
      </c>
      <c r="I66" s="187">
        <v>46209.0</v>
      </c>
      <c r="J66" s="187">
        <v>46209.0</v>
      </c>
      <c r="K66" s="187">
        <v>46209.0</v>
      </c>
      <c r="L66" s="187">
        <v>46209.0</v>
      </c>
      <c r="M66" s="187">
        <v>46209.0</v>
      </c>
      <c r="N66" s="187">
        <v>46209.0</v>
      </c>
      <c r="O66" s="187">
        <v>46209.0</v>
      </c>
      <c r="P66" s="187">
        <v>46209.0</v>
      </c>
      <c r="Q66" s="187">
        <v>46209.0</v>
      </c>
      <c r="R66" s="187">
        <v>46209.0</v>
      </c>
      <c r="S66" s="187">
        <v>46209.0</v>
      </c>
      <c r="T66" s="188"/>
    </row>
    <row r="67" ht="72.75" customHeight="1">
      <c r="A67" s="190"/>
      <c r="B67" s="191" t="s">
        <v>870</v>
      </c>
      <c r="C67" s="192"/>
      <c r="D67" s="193"/>
      <c r="E67" s="194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6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64:D64"/>
    <mergeCell ref="B65:D65"/>
    <mergeCell ref="B66:D66"/>
    <mergeCell ref="B67:D67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131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106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268.0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872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COUNTIF(F44:T44,"P")</f>
        <v>8</v>
      </c>
      <c r="B7" s="130"/>
      <c r="C7" s="131">
        <f>COUNTIF(F44:T44,"F")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COUNTIF(F43:T43,"N")</f>
        <v>3</v>
      </c>
      <c r="M7" s="132">
        <f>COUNTIF(F43:T43,"A")</f>
        <v>5</v>
      </c>
      <c r="N7" s="132">
        <f>COUNTIF(F43:T43,"B")</f>
        <v>0</v>
      </c>
      <c r="O7" s="133">
        <f>COUNTA(F9:T9)</f>
        <v>8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875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877</v>
      </c>
      <c r="E12" s="145"/>
      <c r="F12" s="152" t="s">
        <v>742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878</v>
      </c>
      <c r="E13" s="145"/>
      <c r="F13" s="152"/>
      <c r="G13" s="152" t="s">
        <v>742</v>
      </c>
      <c r="H13" s="152"/>
      <c r="I13" s="152"/>
      <c r="J13" s="152"/>
      <c r="K13" s="152" t="s">
        <v>742</v>
      </c>
      <c r="L13" s="152" t="s">
        <v>742</v>
      </c>
      <c r="M13" s="152" t="s">
        <v>742</v>
      </c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881</v>
      </c>
      <c r="E14" s="145"/>
      <c r="F14" s="152"/>
      <c r="G14" s="152" t="s">
        <v>742</v>
      </c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882</v>
      </c>
      <c r="E15" s="145"/>
      <c r="F15" s="152"/>
      <c r="G15" s="152"/>
      <c r="H15" s="152" t="s">
        <v>742</v>
      </c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884</v>
      </c>
      <c r="E16" s="145"/>
      <c r="F16" s="152"/>
      <c r="G16" s="152"/>
      <c r="H16" s="152"/>
      <c r="I16" s="152" t="s">
        <v>742</v>
      </c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885</v>
      </c>
      <c r="E17" s="145"/>
      <c r="F17" s="152"/>
      <c r="G17" s="152"/>
      <c r="H17" s="152"/>
      <c r="I17" s="152"/>
      <c r="J17" s="152" t="s">
        <v>742</v>
      </c>
      <c r="K17" s="152"/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741</v>
      </c>
      <c r="E18" s="145"/>
      <c r="F18" s="152"/>
      <c r="G18" s="152"/>
      <c r="H18" s="152"/>
      <c r="I18" s="152"/>
      <c r="J18" s="152"/>
      <c r="K18" s="152" t="s">
        <v>742</v>
      </c>
      <c r="L18" s="152" t="s">
        <v>742</v>
      </c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886</v>
      </c>
      <c r="E19" s="145"/>
      <c r="F19" s="152"/>
      <c r="G19" s="152"/>
      <c r="H19" s="152"/>
      <c r="I19" s="152"/>
      <c r="J19" s="152"/>
      <c r="K19" s="152" t="s">
        <v>742</v>
      </c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888</v>
      </c>
      <c r="E20" s="145"/>
      <c r="F20" s="152"/>
      <c r="G20" s="152"/>
      <c r="H20" s="152"/>
      <c r="I20" s="152"/>
      <c r="J20" s="152"/>
      <c r="K20" s="152"/>
      <c r="L20" s="152" t="s">
        <v>742</v>
      </c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889</v>
      </c>
      <c r="E21" s="145"/>
      <c r="F21" s="152"/>
      <c r="G21" s="152"/>
      <c r="H21" s="152"/>
      <c r="I21" s="152"/>
      <c r="J21" s="152"/>
      <c r="K21" s="152"/>
      <c r="L21" s="152"/>
      <c r="M21" s="152" t="s">
        <v>742</v>
      </c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 t="s">
        <v>768</v>
      </c>
      <c r="C22" s="150"/>
      <c r="D22" s="151"/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892</v>
      </c>
      <c r="E23" s="145"/>
      <c r="F23" s="152" t="s">
        <v>742</v>
      </c>
      <c r="G23" s="152" t="s">
        <v>742</v>
      </c>
      <c r="H23" s="152"/>
      <c r="I23" s="152" t="s">
        <v>742</v>
      </c>
      <c r="J23" s="152" t="s">
        <v>742</v>
      </c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894</v>
      </c>
      <c r="E24" s="145"/>
      <c r="F24" s="152"/>
      <c r="G24" s="152"/>
      <c r="H24" s="152" t="s">
        <v>742</v>
      </c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895</v>
      </c>
      <c r="E25" s="145"/>
      <c r="F25" s="152"/>
      <c r="G25" s="152"/>
      <c r="H25" s="152"/>
      <c r="I25" s="152"/>
      <c r="J25" s="152"/>
      <c r="K25" s="152" t="s">
        <v>742</v>
      </c>
      <c r="L25" s="152"/>
      <c r="M25" s="152" t="s">
        <v>742</v>
      </c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897</v>
      </c>
      <c r="E26" s="145"/>
      <c r="F26" s="152"/>
      <c r="G26" s="152"/>
      <c r="H26" s="152"/>
      <c r="I26" s="152"/>
      <c r="J26" s="152"/>
      <c r="K26" s="152"/>
      <c r="L26" s="152" t="s">
        <v>742</v>
      </c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54"/>
      <c r="C27" s="155"/>
      <c r="D27" s="156"/>
      <c r="E27" s="157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9"/>
    </row>
    <row r="28" ht="13.5" customHeight="1">
      <c r="A28" s="160" t="s">
        <v>802</v>
      </c>
      <c r="B28" s="161" t="s">
        <v>804</v>
      </c>
      <c r="C28" s="162"/>
      <c r="D28" s="163"/>
      <c r="E28" s="164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7"/>
    </row>
    <row r="29" ht="13.5" customHeight="1">
      <c r="A29" s="165"/>
      <c r="B29" s="166"/>
      <c r="C29" s="167"/>
      <c r="D29" s="168" t="s">
        <v>902</v>
      </c>
      <c r="E29" s="169"/>
      <c r="F29" s="152" t="s">
        <v>742</v>
      </c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/>
      <c r="C30" s="167"/>
      <c r="D30" s="168" t="s">
        <v>904</v>
      </c>
      <c r="E30" s="169"/>
      <c r="F30" s="152" t="s">
        <v>742</v>
      </c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65"/>
      <c r="B31" s="166"/>
      <c r="C31" s="167"/>
      <c r="D31" s="168" t="s">
        <v>905</v>
      </c>
      <c r="E31" s="169"/>
      <c r="F31" s="152"/>
      <c r="G31" s="152"/>
      <c r="H31" s="152"/>
      <c r="I31" s="152"/>
      <c r="J31" s="152"/>
      <c r="K31" s="152" t="s">
        <v>742</v>
      </c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/>
      <c r="C32" s="167"/>
      <c r="D32" s="168" t="s">
        <v>907</v>
      </c>
      <c r="E32" s="169"/>
      <c r="F32" s="152"/>
      <c r="G32" s="152"/>
      <c r="H32" s="152"/>
      <c r="I32" s="152"/>
      <c r="J32" s="152"/>
      <c r="K32" s="152" t="s">
        <v>742</v>
      </c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908</v>
      </c>
      <c r="E33" s="169"/>
      <c r="F33" s="152"/>
      <c r="G33" s="152"/>
      <c r="H33" s="152"/>
      <c r="I33" s="152"/>
      <c r="J33" s="152"/>
      <c r="K33" s="152"/>
      <c r="L33" s="152" t="s">
        <v>742</v>
      </c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910</v>
      </c>
      <c r="E34" s="169"/>
      <c r="F34" s="152"/>
      <c r="G34" s="152"/>
      <c r="H34" s="152"/>
      <c r="I34" s="152"/>
      <c r="J34" s="152"/>
      <c r="K34" s="152"/>
      <c r="L34" s="152" t="s">
        <v>742</v>
      </c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 t="s">
        <v>825</v>
      </c>
      <c r="C35" s="167"/>
      <c r="D35" s="168"/>
      <c r="E35" s="169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913</v>
      </c>
      <c r="E36" s="169"/>
      <c r="F36" s="152"/>
      <c r="G36" s="152" t="s">
        <v>742</v>
      </c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915</v>
      </c>
      <c r="E37" s="169"/>
      <c r="F37" s="152"/>
      <c r="G37" s="152"/>
      <c r="H37" s="152" t="s">
        <v>742</v>
      </c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918</v>
      </c>
      <c r="E38" s="169"/>
      <c r="F38" s="152"/>
      <c r="G38" s="152"/>
      <c r="H38" s="152"/>
      <c r="I38" s="152" t="s">
        <v>742</v>
      </c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919</v>
      </c>
      <c r="E39" s="169"/>
      <c r="F39" s="152"/>
      <c r="G39" s="152"/>
      <c r="H39" s="152"/>
      <c r="I39" s="152"/>
      <c r="J39" s="152" t="s">
        <v>742</v>
      </c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827</v>
      </c>
      <c r="E40" s="169"/>
      <c r="F40" s="152"/>
      <c r="G40" s="152"/>
      <c r="H40" s="152"/>
      <c r="I40" s="152"/>
      <c r="J40" s="152"/>
      <c r="K40" s="152"/>
      <c r="L40" s="152"/>
      <c r="M40" s="152" t="s">
        <v>742</v>
      </c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 t="s">
        <v>854</v>
      </c>
      <c r="C41" s="167"/>
      <c r="D41" s="168"/>
      <c r="E41" s="169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70"/>
      <c r="C42" s="171"/>
      <c r="D42" s="172"/>
      <c r="E42" s="173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5"/>
    </row>
    <row r="43" ht="13.5" customHeight="1">
      <c r="A43" s="160" t="s">
        <v>865</v>
      </c>
      <c r="B43" s="176" t="s">
        <v>866</v>
      </c>
      <c r="C43" s="177"/>
      <c r="D43" s="178"/>
      <c r="E43" s="179"/>
      <c r="F43" s="180" t="s">
        <v>54</v>
      </c>
      <c r="G43" s="180" t="s">
        <v>55</v>
      </c>
      <c r="H43" s="180" t="s">
        <v>55</v>
      </c>
      <c r="I43" s="180" t="s">
        <v>55</v>
      </c>
      <c r="J43" s="180" t="s">
        <v>55</v>
      </c>
      <c r="K43" s="180" t="s">
        <v>54</v>
      </c>
      <c r="L43" s="180" t="s">
        <v>54</v>
      </c>
      <c r="M43" s="180" t="s">
        <v>55</v>
      </c>
      <c r="N43" s="180"/>
      <c r="O43" s="180"/>
      <c r="P43" s="180"/>
      <c r="Q43" s="180"/>
      <c r="R43" s="180"/>
      <c r="S43" s="180"/>
      <c r="T43" s="181"/>
    </row>
    <row r="44" ht="13.5" customHeight="1">
      <c r="A44" s="165"/>
      <c r="B44" s="182" t="s">
        <v>867</v>
      </c>
      <c r="C44" s="27"/>
      <c r="D44" s="25"/>
      <c r="E44" s="183"/>
      <c r="F44" s="184" t="s">
        <v>868</v>
      </c>
      <c r="G44" s="184" t="s">
        <v>868</v>
      </c>
      <c r="H44" s="184" t="s">
        <v>868</v>
      </c>
      <c r="I44" s="184" t="s">
        <v>868</v>
      </c>
      <c r="J44" s="184" t="s">
        <v>868</v>
      </c>
      <c r="K44" s="184" t="s">
        <v>868</v>
      </c>
      <c r="L44" s="184" t="s">
        <v>868</v>
      </c>
      <c r="M44" s="184" t="s">
        <v>868</v>
      </c>
      <c r="N44" s="184"/>
      <c r="O44" s="184"/>
      <c r="P44" s="184"/>
      <c r="Q44" s="184"/>
      <c r="R44" s="184"/>
      <c r="S44" s="184"/>
      <c r="T44" s="185"/>
    </row>
    <row r="45" ht="99.75" customHeight="1">
      <c r="A45" s="165"/>
      <c r="B45" s="186" t="s">
        <v>869</v>
      </c>
      <c r="C45" s="27"/>
      <c r="D45" s="25"/>
      <c r="E45" s="169"/>
      <c r="F45" s="187">
        <v>46209.0</v>
      </c>
      <c r="G45" s="187">
        <v>46209.0</v>
      </c>
      <c r="H45" s="187">
        <v>46209.0</v>
      </c>
      <c r="I45" s="187">
        <v>46209.0</v>
      </c>
      <c r="J45" s="187">
        <v>46209.0</v>
      </c>
      <c r="K45" s="187">
        <v>46209.0</v>
      </c>
      <c r="L45" s="187">
        <v>46209.0</v>
      </c>
      <c r="M45" s="187">
        <v>46209.0</v>
      </c>
      <c r="N45" s="197"/>
      <c r="O45" s="197"/>
      <c r="P45" s="197"/>
      <c r="Q45" s="197"/>
      <c r="R45" s="197"/>
      <c r="S45" s="197"/>
      <c r="T45" s="188"/>
    </row>
    <row r="46" ht="72.75" customHeight="1">
      <c r="A46" s="190"/>
      <c r="B46" s="191" t="s">
        <v>870</v>
      </c>
      <c r="C46" s="192"/>
      <c r="D46" s="193"/>
      <c r="E46" s="194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6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3:D43"/>
    <mergeCell ref="B44:D44"/>
    <mergeCell ref="B45:D45"/>
    <mergeCell ref="B46:D46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9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</row>
    <row r="2" ht="13.5" customHeight="1">
      <c r="A2" s="111" t="s">
        <v>707</v>
      </c>
      <c r="B2" s="112"/>
      <c r="C2" s="113" t="s">
        <v>137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121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ht="13.5" customHeight="1">
      <c r="A4" s="117" t="s">
        <v>711</v>
      </c>
      <c r="B4" s="27"/>
      <c r="C4" s="122">
        <v>101.0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ht="13.5" customHeight="1">
      <c r="A5" s="117" t="s">
        <v>713</v>
      </c>
      <c r="B5" s="27"/>
      <c r="C5" s="124" t="s">
        <v>873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ht="13.5" customHeight="1">
      <c r="A7" s="129">
        <f>COUNTIF(F84:AC84,"P")</f>
        <v>24</v>
      </c>
      <c r="B7" s="130"/>
      <c r="C7" s="131">
        <f>COUNTIF(F84:AC84,"F")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COUNTIF(F83:AC83,"N")</f>
        <v>4</v>
      </c>
      <c r="M7" s="132">
        <f>COUNTIF(F83:AC83,"A")</f>
        <v>14</v>
      </c>
      <c r="N7" s="132">
        <f>COUNTIF(F83:AC83,"B")</f>
        <v>6</v>
      </c>
      <c r="O7" s="133">
        <f>COUNTA(F9:AC9)</f>
        <v>24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39" t="s">
        <v>736</v>
      </c>
      <c r="AA9" s="139" t="s">
        <v>737</v>
      </c>
      <c r="AB9" s="139" t="s">
        <v>738</v>
      </c>
      <c r="AC9" s="140" t="s">
        <v>876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7"/>
    </row>
    <row r="11" ht="13.5" customHeight="1">
      <c r="A11" s="148"/>
      <c r="B11" s="149"/>
      <c r="C11" s="150"/>
      <c r="D11" s="151" t="s">
        <v>880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3"/>
    </row>
    <row r="12" ht="13.5" customHeight="1">
      <c r="A12" s="148"/>
      <c r="B12" s="149"/>
      <c r="C12" s="150"/>
      <c r="D12" s="151" t="s">
        <v>883</v>
      </c>
      <c r="E12" s="145"/>
      <c r="F12" s="152" t="s">
        <v>742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3"/>
    </row>
    <row r="13" ht="13.5" customHeight="1">
      <c r="A13" s="148"/>
      <c r="B13" s="149"/>
      <c r="C13" s="150"/>
      <c r="D13" s="151" t="s">
        <v>762</v>
      </c>
      <c r="E13" s="145"/>
      <c r="F13" s="152"/>
      <c r="G13" s="152" t="s">
        <v>742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3"/>
    </row>
    <row r="14" ht="13.5" customHeight="1">
      <c r="A14" s="148"/>
      <c r="B14" s="149"/>
      <c r="C14" s="150"/>
      <c r="D14" s="151" t="s">
        <v>790</v>
      </c>
      <c r="E14" s="145"/>
      <c r="F14" s="152"/>
      <c r="G14" s="152"/>
      <c r="H14" s="152" t="s">
        <v>742</v>
      </c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3"/>
    </row>
    <row r="15" ht="13.5" customHeight="1">
      <c r="A15" s="148"/>
      <c r="B15" s="149"/>
      <c r="C15" s="150"/>
      <c r="D15" s="151" t="s">
        <v>887</v>
      </c>
      <c r="E15" s="145"/>
      <c r="F15" s="152"/>
      <c r="G15" s="152"/>
      <c r="H15" s="152"/>
      <c r="I15" s="152" t="s">
        <v>742</v>
      </c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3"/>
    </row>
    <row r="16" ht="13.5" customHeight="1">
      <c r="A16" s="148"/>
      <c r="B16" s="149"/>
      <c r="C16" s="150"/>
      <c r="D16" s="151" t="s">
        <v>890</v>
      </c>
      <c r="E16" s="145"/>
      <c r="F16" s="152"/>
      <c r="G16" s="152"/>
      <c r="H16" s="152"/>
      <c r="I16" s="152"/>
      <c r="J16" s="152" t="s">
        <v>742</v>
      </c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3"/>
    </row>
    <row r="17" ht="13.5" customHeight="1">
      <c r="A17" s="148"/>
      <c r="B17" s="149"/>
      <c r="C17" s="150"/>
      <c r="D17" s="151" t="s">
        <v>891</v>
      </c>
      <c r="E17" s="145"/>
      <c r="F17" s="152"/>
      <c r="G17" s="152"/>
      <c r="H17" s="152"/>
      <c r="I17" s="152"/>
      <c r="J17" s="152" t="s">
        <v>742</v>
      </c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3"/>
    </row>
    <row r="18" ht="13.5" customHeight="1">
      <c r="A18" s="148"/>
      <c r="B18" s="149"/>
      <c r="C18" s="150"/>
      <c r="D18" s="151" t="s">
        <v>893</v>
      </c>
      <c r="E18" s="145"/>
      <c r="F18" s="152"/>
      <c r="G18" s="152"/>
      <c r="H18" s="152"/>
      <c r="I18" s="152"/>
      <c r="J18" s="152"/>
      <c r="K18" s="152" t="s">
        <v>742</v>
      </c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3"/>
    </row>
    <row r="19" ht="13.5" customHeight="1">
      <c r="A19" s="148"/>
      <c r="B19" s="149"/>
      <c r="C19" s="150"/>
      <c r="D19" s="151" t="s">
        <v>896</v>
      </c>
      <c r="E19" s="145"/>
      <c r="F19" s="152"/>
      <c r="G19" s="152"/>
      <c r="H19" s="152"/>
      <c r="I19" s="152"/>
      <c r="J19" s="152"/>
      <c r="K19" s="152"/>
      <c r="L19" s="152" t="s">
        <v>742</v>
      </c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3"/>
    </row>
    <row r="20" ht="13.5" customHeight="1">
      <c r="A20" s="148"/>
      <c r="B20" s="149"/>
      <c r="C20" s="150"/>
      <c r="D20" s="151" t="s">
        <v>898</v>
      </c>
      <c r="E20" s="145"/>
      <c r="F20" s="152"/>
      <c r="G20" s="152"/>
      <c r="H20" s="152"/>
      <c r="I20" s="152"/>
      <c r="J20" s="152"/>
      <c r="K20" s="152"/>
      <c r="L20" s="152"/>
      <c r="M20" s="152" t="s">
        <v>742</v>
      </c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3"/>
    </row>
    <row r="21" ht="13.5" customHeight="1">
      <c r="A21" s="148"/>
      <c r="B21" s="149"/>
      <c r="C21" s="150"/>
      <c r="D21" s="151" t="s">
        <v>899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 t="s">
        <v>742</v>
      </c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3"/>
    </row>
    <row r="22" ht="13.5" customHeight="1">
      <c r="A22" s="148"/>
      <c r="B22" s="149"/>
      <c r="C22" s="150"/>
      <c r="D22" s="151" t="s">
        <v>900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 t="s">
        <v>742</v>
      </c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3"/>
    </row>
    <row r="23" ht="13.5" customHeight="1">
      <c r="A23" s="148"/>
      <c r="B23" s="149"/>
      <c r="C23" s="150"/>
      <c r="D23" s="151" t="s">
        <v>901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 t="s">
        <v>742</v>
      </c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3"/>
    </row>
    <row r="24" ht="13.5" customHeight="1">
      <c r="A24" s="148"/>
      <c r="B24" s="149"/>
      <c r="C24" s="150"/>
      <c r="D24" s="151" t="s">
        <v>903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 t="s">
        <v>742</v>
      </c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3"/>
    </row>
    <row r="25" ht="13.5" customHeight="1">
      <c r="A25" s="148"/>
      <c r="B25" s="149"/>
      <c r="C25" s="150"/>
      <c r="D25" s="151" t="s">
        <v>906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 t="s">
        <v>742</v>
      </c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3"/>
    </row>
    <row r="26" ht="13.5" customHeight="1">
      <c r="A26" s="148"/>
      <c r="B26" s="149"/>
      <c r="C26" s="150"/>
      <c r="D26" s="151" t="s">
        <v>909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 t="s">
        <v>742</v>
      </c>
      <c r="T26" s="152"/>
      <c r="U26" s="152"/>
      <c r="V26" s="152"/>
      <c r="W26" s="152"/>
      <c r="X26" s="152"/>
      <c r="Y26" s="152"/>
      <c r="Z26" s="152"/>
      <c r="AA26" s="152"/>
      <c r="AB26" s="152"/>
      <c r="AC26" s="153"/>
    </row>
    <row r="27" ht="13.5" customHeight="1">
      <c r="A27" s="148"/>
      <c r="B27" s="149"/>
      <c r="C27" s="150"/>
      <c r="D27" s="151" t="s">
        <v>911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 t="s">
        <v>742</v>
      </c>
      <c r="U27" s="152"/>
      <c r="V27" s="152"/>
      <c r="W27" s="152"/>
      <c r="X27" s="152"/>
      <c r="Y27" s="152"/>
      <c r="Z27" s="152"/>
      <c r="AA27" s="152"/>
      <c r="AB27" s="152"/>
      <c r="AC27" s="153"/>
    </row>
    <row r="28" ht="13.5" customHeight="1">
      <c r="A28" s="148"/>
      <c r="B28" s="149"/>
      <c r="C28" s="150"/>
      <c r="D28" s="151" t="s">
        <v>914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 t="s">
        <v>742</v>
      </c>
      <c r="U28" s="152"/>
      <c r="V28" s="152" t="s">
        <v>742</v>
      </c>
      <c r="W28" s="152" t="s">
        <v>742</v>
      </c>
      <c r="X28" s="152"/>
      <c r="Y28" s="152"/>
      <c r="Z28" s="152"/>
      <c r="AA28" s="152"/>
      <c r="AB28" s="152"/>
      <c r="AC28" s="153"/>
    </row>
    <row r="29" ht="13.5" customHeight="1">
      <c r="A29" s="148"/>
      <c r="B29" s="149"/>
      <c r="C29" s="150"/>
      <c r="D29" s="151" t="s">
        <v>917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 t="s">
        <v>742</v>
      </c>
      <c r="V29" s="152"/>
      <c r="W29" s="152"/>
      <c r="X29" s="152"/>
      <c r="Y29" s="152"/>
      <c r="Z29" s="152"/>
      <c r="AA29" s="152"/>
      <c r="AB29" s="152"/>
      <c r="AC29" s="153"/>
    </row>
    <row r="30" ht="13.5" customHeight="1">
      <c r="A30" s="148"/>
      <c r="B30" s="149"/>
      <c r="C30" s="150"/>
      <c r="D30" s="151" t="s">
        <v>920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 t="s">
        <v>742</v>
      </c>
      <c r="V30" s="152"/>
      <c r="W30" s="152"/>
      <c r="X30" s="152"/>
      <c r="Y30" s="152"/>
      <c r="Z30" s="152"/>
      <c r="AA30" s="152"/>
      <c r="AB30" s="152"/>
      <c r="AC30" s="153"/>
    </row>
    <row r="31" ht="13.5" customHeight="1">
      <c r="A31" s="148"/>
      <c r="B31" s="149"/>
      <c r="C31" s="150"/>
      <c r="D31" s="151" t="s">
        <v>922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 t="s">
        <v>742</v>
      </c>
      <c r="Y31" s="152"/>
      <c r="Z31" s="152"/>
      <c r="AA31" s="152"/>
      <c r="AB31" s="152"/>
      <c r="AC31" s="153"/>
    </row>
    <row r="32" ht="13.5" customHeight="1">
      <c r="A32" s="148"/>
      <c r="B32" s="149"/>
      <c r="C32" s="150"/>
      <c r="D32" s="151" t="s">
        <v>924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 t="s">
        <v>742</v>
      </c>
      <c r="Z32" s="152"/>
      <c r="AA32" s="152"/>
      <c r="AB32" s="152"/>
      <c r="AC32" s="153"/>
    </row>
    <row r="33" ht="13.5" customHeight="1">
      <c r="A33" s="148"/>
      <c r="B33" s="149"/>
      <c r="C33" s="150"/>
      <c r="D33" s="151" t="s">
        <v>926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 t="s">
        <v>742</v>
      </c>
      <c r="AA33" s="152" t="s">
        <v>742</v>
      </c>
      <c r="AB33" s="152"/>
      <c r="AC33" s="153"/>
    </row>
    <row r="34" ht="13.5" customHeight="1">
      <c r="A34" s="148"/>
      <c r="B34" s="149"/>
      <c r="C34" s="150"/>
      <c r="D34" s="151" t="s">
        <v>928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 t="s">
        <v>742</v>
      </c>
      <c r="AC34" s="153" t="s">
        <v>742</v>
      </c>
    </row>
    <row r="35" ht="13.5" customHeight="1">
      <c r="A35" s="148"/>
      <c r="B35" s="149" t="s">
        <v>768</v>
      </c>
      <c r="C35" s="150"/>
      <c r="D35" s="151"/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3"/>
    </row>
    <row r="36" ht="13.5" customHeight="1">
      <c r="A36" s="148"/>
      <c r="B36" s="149"/>
      <c r="C36" s="150"/>
      <c r="D36" s="151" t="s">
        <v>931</v>
      </c>
      <c r="E36" s="145"/>
      <c r="F36" s="152" t="s">
        <v>742</v>
      </c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3"/>
    </row>
    <row r="37" ht="13.5" customHeight="1">
      <c r="A37" s="148"/>
      <c r="B37" s="149"/>
      <c r="C37" s="150"/>
      <c r="D37" s="151" t="s">
        <v>932</v>
      </c>
      <c r="E37" s="145"/>
      <c r="F37" s="152"/>
      <c r="G37" s="152" t="s">
        <v>742</v>
      </c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3"/>
    </row>
    <row r="38" ht="13.5" customHeight="1">
      <c r="A38" s="148"/>
      <c r="B38" s="149"/>
      <c r="C38" s="150"/>
      <c r="D38" s="151" t="s">
        <v>934</v>
      </c>
      <c r="E38" s="145"/>
      <c r="F38" s="152"/>
      <c r="G38" s="152"/>
      <c r="H38" s="152" t="s">
        <v>742</v>
      </c>
      <c r="I38" s="152" t="s">
        <v>742</v>
      </c>
      <c r="J38" s="152" t="s">
        <v>742</v>
      </c>
      <c r="K38" s="152" t="s">
        <v>742</v>
      </c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3"/>
    </row>
    <row r="39" ht="13.5" customHeight="1">
      <c r="A39" s="148"/>
      <c r="B39" s="149"/>
      <c r="C39" s="150"/>
      <c r="D39" s="151" t="s">
        <v>936</v>
      </c>
      <c r="E39" s="145"/>
      <c r="F39" s="152"/>
      <c r="G39" s="152"/>
      <c r="H39" s="152"/>
      <c r="I39" s="152"/>
      <c r="J39" s="152"/>
      <c r="K39" s="152"/>
      <c r="L39" s="152" t="s">
        <v>742</v>
      </c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3"/>
    </row>
    <row r="40" ht="13.5" customHeight="1">
      <c r="A40" s="148"/>
      <c r="B40" s="149"/>
      <c r="C40" s="150"/>
      <c r="D40" s="151" t="s">
        <v>938</v>
      </c>
      <c r="E40" s="145"/>
      <c r="F40" s="152"/>
      <c r="G40" s="152"/>
      <c r="H40" s="152"/>
      <c r="I40" s="152"/>
      <c r="J40" s="152"/>
      <c r="K40" s="152"/>
      <c r="L40" s="152"/>
      <c r="M40" s="152" t="s">
        <v>742</v>
      </c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3"/>
    </row>
    <row r="41" ht="13.5" customHeight="1">
      <c r="A41" s="148"/>
      <c r="B41" s="149"/>
      <c r="C41" s="150"/>
      <c r="D41" s="151" t="s">
        <v>940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 t="s">
        <v>742</v>
      </c>
      <c r="O41" s="152" t="s">
        <v>742</v>
      </c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3"/>
    </row>
    <row r="42" ht="13.5" customHeight="1">
      <c r="A42" s="148"/>
      <c r="B42" s="149"/>
      <c r="C42" s="150"/>
      <c r="D42" s="151" t="s">
        <v>941</v>
      </c>
      <c r="E42" s="145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 t="s">
        <v>742</v>
      </c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3"/>
    </row>
    <row r="43" ht="13.5" customHeight="1">
      <c r="A43" s="148"/>
      <c r="B43" s="149"/>
      <c r="C43" s="150"/>
      <c r="D43" s="151" t="s">
        <v>942</v>
      </c>
      <c r="E43" s="145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 t="s">
        <v>742</v>
      </c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3"/>
    </row>
    <row r="44" ht="13.5" customHeight="1">
      <c r="A44" s="148"/>
      <c r="B44" s="149"/>
      <c r="C44" s="150"/>
      <c r="D44" s="151" t="s">
        <v>943</v>
      </c>
      <c r="E44" s="145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 t="s">
        <v>742</v>
      </c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3"/>
    </row>
    <row r="45" ht="13.5" customHeight="1">
      <c r="A45" s="148"/>
      <c r="B45" s="149"/>
      <c r="C45" s="150"/>
      <c r="D45" s="151" t="s">
        <v>944</v>
      </c>
      <c r="E45" s="145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 t="s">
        <v>742</v>
      </c>
      <c r="T45" s="152"/>
      <c r="U45" s="152"/>
      <c r="V45" s="152"/>
      <c r="W45" s="152"/>
      <c r="X45" s="152"/>
      <c r="Y45" s="152"/>
      <c r="Z45" s="152"/>
      <c r="AA45" s="152"/>
      <c r="AB45" s="152"/>
      <c r="AC45" s="153"/>
    </row>
    <row r="46" ht="13.5" customHeight="1">
      <c r="A46" s="148"/>
      <c r="B46" s="149"/>
      <c r="C46" s="150"/>
      <c r="D46" s="151" t="s">
        <v>946</v>
      </c>
      <c r="E46" s="145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 t="s">
        <v>742</v>
      </c>
      <c r="U46" s="152"/>
      <c r="V46" s="152"/>
      <c r="W46" s="152"/>
      <c r="X46" s="152"/>
      <c r="Y46" s="152"/>
      <c r="Z46" s="152"/>
      <c r="AA46" s="152"/>
      <c r="AB46" s="152"/>
      <c r="AC46" s="153"/>
    </row>
    <row r="47" ht="13.5" customHeight="1">
      <c r="A47" s="148"/>
      <c r="B47" s="149"/>
      <c r="C47" s="150"/>
      <c r="D47" s="151" t="s">
        <v>948</v>
      </c>
      <c r="E47" s="145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 t="s">
        <v>742</v>
      </c>
      <c r="V47" s="152"/>
      <c r="W47" s="152"/>
      <c r="X47" s="152"/>
      <c r="Y47" s="152"/>
      <c r="Z47" s="152"/>
      <c r="AA47" s="152"/>
      <c r="AB47" s="152"/>
      <c r="AC47" s="153"/>
    </row>
    <row r="48" ht="13.5" customHeight="1">
      <c r="A48" s="148"/>
      <c r="B48" s="149"/>
      <c r="C48" s="150"/>
      <c r="D48" s="151" t="s">
        <v>950</v>
      </c>
      <c r="E48" s="145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 t="s">
        <v>742</v>
      </c>
      <c r="W48" s="152"/>
      <c r="X48" s="152"/>
      <c r="Y48" s="152"/>
      <c r="Z48" s="152"/>
      <c r="AA48" s="152"/>
      <c r="AB48" s="152"/>
      <c r="AC48" s="153"/>
    </row>
    <row r="49" ht="13.5" customHeight="1">
      <c r="A49" s="148"/>
      <c r="B49" s="149"/>
      <c r="C49" s="150"/>
      <c r="D49" s="151" t="s">
        <v>951</v>
      </c>
      <c r="E49" s="145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 t="s">
        <v>742</v>
      </c>
      <c r="X49" s="152"/>
      <c r="Y49" s="152"/>
      <c r="Z49" s="152"/>
      <c r="AA49" s="152"/>
      <c r="AB49" s="152"/>
      <c r="AC49" s="153"/>
    </row>
    <row r="50" ht="13.5" customHeight="1">
      <c r="A50" s="148"/>
      <c r="B50" s="149"/>
      <c r="C50" s="150"/>
      <c r="D50" s="151" t="s">
        <v>953</v>
      </c>
      <c r="E50" s="145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 t="s">
        <v>742</v>
      </c>
      <c r="Y50" s="152"/>
      <c r="Z50" s="152"/>
      <c r="AA50" s="152"/>
      <c r="AB50" s="152"/>
      <c r="AC50" s="153"/>
    </row>
    <row r="51" ht="13.5" customHeight="1">
      <c r="A51" s="148"/>
      <c r="B51" s="149"/>
      <c r="C51" s="150"/>
      <c r="D51" s="151" t="s">
        <v>955</v>
      </c>
      <c r="E51" s="145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 t="s">
        <v>742</v>
      </c>
      <c r="Z51" s="152"/>
      <c r="AA51" s="152"/>
      <c r="AB51" s="152"/>
      <c r="AC51" s="153"/>
    </row>
    <row r="52" ht="13.5" customHeight="1">
      <c r="A52" s="148"/>
      <c r="B52" s="149"/>
      <c r="C52" s="150"/>
      <c r="D52" s="151" t="s">
        <v>957</v>
      </c>
      <c r="E52" s="145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 t="s">
        <v>742</v>
      </c>
      <c r="AA52" s="152"/>
      <c r="AB52" s="152"/>
      <c r="AC52" s="153"/>
    </row>
    <row r="53" ht="13.5" customHeight="1">
      <c r="A53" s="148"/>
      <c r="B53" s="149"/>
      <c r="C53" s="150"/>
      <c r="D53" s="151" t="s">
        <v>958</v>
      </c>
      <c r="E53" s="145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 t="s">
        <v>742</v>
      </c>
      <c r="AB53" s="152"/>
      <c r="AC53" s="153"/>
    </row>
    <row r="54" ht="13.5" customHeight="1">
      <c r="A54" s="148"/>
      <c r="B54" s="149"/>
      <c r="C54" s="150"/>
      <c r="D54" s="151" t="s">
        <v>959</v>
      </c>
      <c r="E54" s="145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 t="s">
        <v>742</v>
      </c>
      <c r="AC54" s="153"/>
    </row>
    <row r="55" ht="13.5" customHeight="1">
      <c r="A55" s="148"/>
      <c r="B55" s="149"/>
      <c r="C55" s="150"/>
      <c r="D55" s="151" t="s">
        <v>960</v>
      </c>
      <c r="E55" s="145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3" t="s">
        <v>742</v>
      </c>
    </row>
    <row r="56" ht="13.5" customHeight="1">
      <c r="A56" s="148"/>
      <c r="B56" s="154"/>
      <c r="C56" s="155"/>
      <c r="D56" s="156"/>
      <c r="E56" s="157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9"/>
    </row>
    <row r="57" ht="13.5" customHeight="1">
      <c r="A57" s="160" t="s">
        <v>802</v>
      </c>
      <c r="B57" s="161" t="s">
        <v>804</v>
      </c>
      <c r="C57" s="162"/>
      <c r="D57" s="163"/>
      <c r="E57" s="164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7"/>
    </row>
    <row r="58" ht="13.5" customHeight="1">
      <c r="A58" s="165"/>
      <c r="B58" s="166"/>
      <c r="C58" s="167"/>
      <c r="D58" s="168" t="s">
        <v>961</v>
      </c>
      <c r="E58" s="169"/>
      <c r="F58" s="152" t="s">
        <v>742</v>
      </c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3"/>
    </row>
    <row r="59" ht="13.5" customHeight="1">
      <c r="A59" s="165"/>
      <c r="B59" s="166"/>
      <c r="C59" s="167"/>
      <c r="D59" s="168" t="s">
        <v>962</v>
      </c>
      <c r="E59" s="169"/>
      <c r="F59" s="152"/>
      <c r="G59" s="152"/>
      <c r="H59" s="152"/>
      <c r="I59" s="152"/>
      <c r="J59" s="152"/>
      <c r="K59" s="152" t="s">
        <v>742</v>
      </c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3"/>
    </row>
    <row r="60" ht="13.5" customHeight="1">
      <c r="A60" s="165"/>
      <c r="B60" s="166"/>
      <c r="C60" s="167"/>
      <c r="D60" s="168" t="s">
        <v>963</v>
      </c>
      <c r="E60" s="169"/>
      <c r="F60" s="152"/>
      <c r="G60" s="152"/>
      <c r="H60" s="152"/>
      <c r="I60" s="152"/>
      <c r="J60" s="152"/>
      <c r="K60" s="152"/>
      <c r="L60" s="152" t="s">
        <v>742</v>
      </c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3"/>
    </row>
    <row r="61" ht="13.5" customHeight="1">
      <c r="A61" s="165"/>
      <c r="B61" s="166"/>
      <c r="C61" s="167"/>
      <c r="D61" s="168" t="s">
        <v>964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 t="s">
        <v>742</v>
      </c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3"/>
    </row>
    <row r="62" ht="13.5" customHeight="1">
      <c r="A62" s="165"/>
      <c r="B62" s="166"/>
      <c r="C62" s="167"/>
      <c r="D62" s="168" t="s">
        <v>965</v>
      </c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 t="s">
        <v>742</v>
      </c>
      <c r="U62" s="152"/>
      <c r="V62" s="152"/>
      <c r="W62" s="152"/>
      <c r="X62" s="152"/>
      <c r="Y62" s="152"/>
      <c r="Z62" s="152"/>
      <c r="AA62" s="152"/>
      <c r="AB62" s="152"/>
      <c r="AC62" s="153"/>
    </row>
    <row r="63" ht="13.5" customHeight="1">
      <c r="A63" s="165"/>
      <c r="B63" s="166"/>
      <c r="C63" s="167"/>
      <c r="D63" s="168" t="s">
        <v>817</v>
      </c>
      <c r="E63" s="169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 t="s">
        <v>742</v>
      </c>
      <c r="AA63" s="152"/>
      <c r="AB63" s="152" t="s">
        <v>742</v>
      </c>
      <c r="AC63" s="153"/>
    </row>
    <row r="64" ht="13.5" customHeight="1">
      <c r="A64" s="165"/>
      <c r="B64" s="166" t="s">
        <v>825</v>
      </c>
      <c r="C64" s="167"/>
      <c r="D64" s="168"/>
      <c r="E64" s="169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3"/>
    </row>
    <row r="65" ht="13.5" customHeight="1">
      <c r="A65" s="165"/>
      <c r="B65" s="166"/>
      <c r="C65" s="167"/>
      <c r="D65" s="168" t="s">
        <v>847</v>
      </c>
      <c r="E65" s="169"/>
      <c r="F65" s="152"/>
      <c r="G65" s="152" t="s">
        <v>742</v>
      </c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 t="s">
        <v>742</v>
      </c>
      <c r="Z65" s="152"/>
      <c r="AA65" s="152"/>
      <c r="AB65" s="152"/>
      <c r="AC65" s="153"/>
    </row>
    <row r="66" ht="13.5" customHeight="1">
      <c r="A66" s="165"/>
      <c r="B66" s="166"/>
      <c r="C66" s="167"/>
      <c r="D66" s="168" t="s">
        <v>850</v>
      </c>
      <c r="E66" s="169"/>
      <c r="F66" s="152"/>
      <c r="G66" s="152"/>
      <c r="H66" s="152" t="s">
        <v>742</v>
      </c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3"/>
    </row>
    <row r="67" ht="13.5" customHeight="1">
      <c r="A67" s="165"/>
      <c r="B67" s="166"/>
      <c r="C67" s="167"/>
      <c r="D67" s="168" t="s">
        <v>966</v>
      </c>
      <c r="E67" s="169"/>
      <c r="F67" s="152"/>
      <c r="G67" s="152"/>
      <c r="H67" s="152"/>
      <c r="I67" s="152" t="s">
        <v>742</v>
      </c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3"/>
    </row>
    <row r="68" ht="13.5" customHeight="1">
      <c r="A68" s="165"/>
      <c r="B68" s="166"/>
      <c r="C68" s="167"/>
      <c r="D68" s="168" t="s">
        <v>849</v>
      </c>
      <c r="E68" s="169"/>
      <c r="F68" s="152"/>
      <c r="G68" s="152"/>
      <c r="H68" s="152"/>
      <c r="I68" s="152"/>
      <c r="J68" s="152" t="s">
        <v>742</v>
      </c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3"/>
    </row>
    <row r="69" ht="13.5" customHeight="1">
      <c r="A69" s="165"/>
      <c r="B69" s="166"/>
      <c r="C69" s="167"/>
      <c r="D69" s="168" t="s">
        <v>839</v>
      </c>
      <c r="E69" s="169"/>
      <c r="F69" s="152"/>
      <c r="G69" s="152"/>
      <c r="H69" s="152"/>
      <c r="I69" s="152"/>
      <c r="J69" s="152"/>
      <c r="K69" s="152"/>
      <c r="L69" s="152"/>
      <c r="M69" s="152" t="s">
        <v>742</v>
      </c>
      <c r="N69" s="152"/>
      <c r="O69" s="152"/>
      <c r="P69" s="152"/>
      <c r="Q69" s="152"/>
      <c r="R69" s="152" t="s">
        <v>742</v>
      </c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3"/>
    </row>
    <row r="70" ht="13.5" customHeight="1">
      <c r="A70" s="165"/>
      <c r="B70" s="166"/>
      <c r="C70" s="167"/>
      <c r="D70" s="168" t="s">
        <v>846</v>
      </c>
      <c r="E70" s="169"/>
      <c r="F70" s="152"/>
      <c r="G70" s="152"/>
      <c r="H70" s="152"/>
      <c r="I70" s="152"/>
      <c r="J70" s="152"/>
      <c r="K70" s="152"/>
      <c r="L70" s="152"/>
      <c r="M70" s="152"/>
      <c r="N70" s="152" t="s">
        <v>742</v>
      </c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3"/>
    </row>
    <row r="71" ht="13.5" customHeight="1">
      <c r="A71" s="165"/>
      <c r="B71" s="166"/>
      <c r="C71" s="167"/>
      <c r="D71" s="168" t="s">
        <v>967</v>
      </c>
      <c r="E71" s="169"/>
      <c r="F71" s="152"/>
      <c r="G71" s="152"/>
      <c r="H71" s="152"/>
      <c r="I71" s="152"/>
      <c r="J71" s="152"/>
      <c r="K71" s="152"/>
      <c r="L71" s="152"/>
      <c r="M71" s="152"/>
      <c r="N71" s="152"/>
      <c r="O71" s="152" t="s">
        <v>742</v>
      </c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3"/>
    </row>
    <row r="72" ht="13.5" customHeight="1">
      <c r="A72" s="165"/>
      <c r="B72" s="166"/>
      <c r="C72" s="167"/>
      <c r="D72" s="168" t="s">
        <v>968</v>
      </c>
      <c r="E72" s="169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 t="s">
        <v>742</v>
      </c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3"/>
    </row>
    <row r="73" ht="13.5" customHeight="1">
      <c r="A73" s="165"/>
      <c r="B73" s="166"/>
      <c r="C73" s="167"/>
      <c r="D73" s="168" t="s">
        <v>841</v>
      </c>
      <c r="E73" s="169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 t="s">
        <v>742</v>
      </c>
      <c r="T73" s="152"/>
      <c r="U73" s="152"/>
      <c r="V73" s="152"/>
      <c r="W73" s="152"/>
      <c r="X73" s="152"/>
      <c r="Y73" s="152"/>
      <c r="Z73" s="152"/>
      <c r="AA73" s="152"/>
      <c r="AB73" s="152"/>
      <c r="AC73" s="153"/>
    </row>
    <row r="74" ht="13.5" customHeight="1">
      <c r="A74" s="165"/>
      <c r="B74" s="166"/>
      <c r="C74" s="167"/>
      <c r="D74" s="168" t="s">
        <v>969</v>
      </c>
      <c r="E74" s="169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 t="s">
        <v>742</v>
      </c>
      <c r="V74" s="152"/>
      <c r="W74" s="152"/>
      <c r="X74" s="152" t="s">
        <v>742</v>
      </c>
      <c r="Y74" s="152"/>
      <c r="Z74" s="152"/>
      <c r="AA74" s="152"/>
      <c r="AB74" s="152"/>
      <c r="AC74" s="153"/>
    </row>
    <row r="75" ht="13.5" customHeight="1">
      <c r="A75" s="165"/>
      <c r="B75" s="166"/>
      <c r="C75" s="167"/>
      <c r="D75" s="168" t="s">
        <v>970</v>
      </c>
      <c r="E75" s="169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 t="s">
        <v>742</v>
      </c>
      <c r="W75" s="152"/>
      <c r="X75" s="152"/>
      <c r="Y75" s="152"/>
      <c r="Z75" s="152"/>
      <c r="AA75" s="152"/>
      <c r="AB75" s="152"/>
      <c r="AC75" s="153"/>
    </row>
    <row r="76" ht="13.5" customHeight="1">
      <c r="A76" s="165"/>
      <c r="B76" s="166"/>
      <c r="C76" s="167"/>
      <c r="D76" s="168" t="s">
        <v>971</v>
      </c>
      <c r="E76" s="169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 t="s">
        <v>742</v>
      </c>
      <c r="X76" s="152"/>
      <c r="Y76" s="152"/>
      <c r="Z76" s="152"/>
      <c r="AA76" s="152"/>
      <c r="AB76" s="152"/>
      <c r="AC76" s="153"/>
    </row>
    <row r="77" ht="13.5" customHeight="1">
      <c r="A77" s="165"/>
      <c r="B77" s="166"/>
      <c r="C77" s="167"/>
      <c r="D77" s="168" t="s">
        <v>972</v>
      </c>
      <c r="E77" s="169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 t="s">
        <v>742</v>
      </c>
      <c r="AB77" s="152"/>
      <c r="AC77" s="153"/>
    </row>
    <row r="78" ht="13.5" customHeight="1">
      <c r="A78" s="165"/>
      <c r="B78" s="166"/>
      <c r="C78" s="167"/>
      <c r="D78" s="168" t="s">
        <v>973</v>
      </c>
      <c r="E78" s="169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3" t="s">
        <v>742</v>
      </c>
    </row>
    <row r="79" ht="13.5" customHeight="1">
      <c r="A79" s="165"/>
      <c r="B79" s="166" t="s">
        <v>854</v>
      </c>
      <c r="C79" s="167"/>
      <c r="D79" s="168"/>
      <c r="E79" s="169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3"/>
    </row>
    <row r="80" ht="13.5" customHeight="1">
      <c r="A80" s="165"/>
      <c r="B80" s="166"/>
      <c r="C80" s="167"/>
      <c r="D80" s="168" t="s">
        <v>974</v>
      </c>
      <c r="E80" s="169"/>
      <c r="F80" s="152" t="s">
        <v>742</v>
      </c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3"/>
    </row>
    <row r="81" ht="13.5" customHeight="1">
      <c r="A81" s="165"/>
      <c r="B81" s="166"/>
      <c r="C81" s="167"/>
      <c r="D81" s="168" t="s">
        <v>975</v>
      </c>
      <c r="E81" s="169"/>
      <c r="F81" s="152"/>
      <c r="G81" s="152"/>
      <c r="H81" s="152"/>
      <c r="I81" s="152"/>
      <c r="J81" s="152"/>
      <c r="K81" s="152" t="s">
        <v>742</v>
      </c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3"/>
    </row>
    <row r="82" ht="13.5" customHeight="1">
      <c r="A82" s="165"/>
      <c r="B82" s="170"/>
      <c r="C82" s="171"/>
      <c r="D82" s="172"/>
      <c r="E82" s="173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5"/>
    </row>
    <row r="83" ht="13.5" customHeight="1">
      <c r="A83" s="160" t="s">
        <v>865</v>
      </c>
      <c r="B83" s="176" t="s">
        <v>866</v>
      </c>
      <c r="C83" s="177"/>
      <c r="D83" s="178"/>
      <c r="E83" s="179"/>
      <c r="F83" s="180" t="s">
        <v>54</v>
      </c>
      <c r="G83" s="180" t="s">
        <v>55</v>
      </c>
      <c r="H83" s="180" t="s">
        <v>55</v>
      </c>
      <c r="I83" s="180" t="s">
        <v>55</v>
      </c>
      <c r="J83" s="180" t="s">
        <v>55</v>
      </c>
      <c r="K83" s="180" t="s">
        <v>57</v>
      </c>
      <c r="L83" s="180" t="s">
        <v>54</v>
      </c>
      <c r="M83" s="180" t="s">
        <v>55</v>
      </c>
      <c r="N83" s="180" t="s">
        <v>55</v>
      </c>
      <c r="O83" s="180" t="s">
        <v>55</v>
      </c>
      <c r="P83" s="180" t="s">
        <v>54</v>
      </c>
      <c r="Q83" s="180" t="s">
        <v>55</v>
      </c>
      <c r="R83" s="180" t="s">
        <v>55</v>
      </c>
      <c r="S83" s="180" t="s">
        <v>57</v>
      </c>
      <c r="T83" s="180" t="s">
        <v>54</v>
      </c>
      <c r="U83" s="180" t="s">
        <v>55</v>
      </c>
      <c r="V83" s="180" t="s">
        <v>55</v>
      </c>
      <c r="W83" s="180" t="s">
        <v>55</v>
      </c>
      <c r="X83" s="180" t="s">
        <v>55</v>
      </c>
      <c r="Y83" s="180" t="s">
        <v>55</v>
      </c>
      <c r="Z83" s="180" t="s">
        <v>57</v>
      </c>
      <c r="AA83" s="180" t="s">
        <v>57</v>
      </c>
      <c r="AB83" s="180" t="s">
        <v>57</v>
      </c>
      <c r="AC83" s="181" t="s">
        <v>57</v>
      </c>
    </row>
    <row r="84" ht="13.5" customHeight="1">
      <c r="A84" s="165"/>
      <c r="B84" s="182" t="s">
        <v>867</v>
      </c>
      <c r="C84" s="27"/>
      <c r="D84" s="25"/>
      <c r="E84" s="183"/>
      <c r="F84" s="184" t="s">
        <v>868</v>
      </c>
      <c r="G84" s="184" t="s">
        <v>868</v>
      </c>
      <c r="H84" s="184" t="s">
        <v>868</v>
      </c>
      <c r="I84" s="184" t="s">
        <v>868</v>
      </c>
      <c r="J84" s="184" t="s">
        <v>868</v>
      </c>
      <c r="K84" s="184" t="s">
        <v>868</v>
      </c>
      <c r="L84" s="184" t="s">
        <v>868</v>
      </c>
      <c r="M84" s="184" t="s">
        <v>868</v>
      </c>
      <c r="N84" s="184" t="s">
        <v>868</v>
      </c>
      <c r="O84" s="184" t="s">
        <v>868</v>
      </c>
      <c r="P84" s="184" t="s">
        <v>868</v>
      </c>
      <c r="Q84" s="184" t="s">
        <v>868</v>
      </c>
      <c r="R84" s="184" t="s">
        <v>868</v>
      </c>
      <c r="S84" s="184" t="s">
        <v>868</v>
      </c>
      <c r="T84" s="184" t="s">
        <v>868</v>
      </c>
      <c r="U84" s="184" t="s">
        <v>868</v>
      </c>
      <c r="V84" s="184" t="s">
        <v>868</v>
      </c>
      <c r="W84" s="184" t="s">
        <v>868</v>
      </c>
      <c r="X84" s="184" t="s">
        <v>868</v>
      </c>
      <c r="Y84" s="184" t="s">
        <v>868</v>
      </c>
      <c r="Z84" s="184" t="s">
        <v>868</v>
      </c>
      <c r="AA84" s="184" t="s">
        <v>868</v>
      </c>
      <c r="AB84" s="184" t="s">
        <v>868</v>
      </c>
      <c r="AC84" s="185" t="s">
        <v>868</v>
      </c>
    </row>
    <row r="85" ht="99.75" customHeight="1">
      <c r="A85" s="165"/>
      <c r="B85" s="186" t="s">
        <v>869</v>
      </c>
      <c r="C85" s="27"/>
      <c r="D85" s="25"/>
      <c r="E85" s="169"/>
      <c r="F85" s="187">
        <v>46222.0</v>
      </c>
      <c r="G85" s="187">
        <v>46222.0</v>
      </c>
      <c r="H85" s="187">
        <v>46222.0</v>
      </c>
      <c r="I85" s="187">
        <v>46222.0</v>
      </c>
      <c r="J85" s="187">
        <v>46222.0</v>
      </c>
      <c r="K85" s="187">
        <v>46222.0</v>
      </c>
      <c r="L85" s="187">
        <v>46222.0</v>
      </c>
      <c r="M85" s="187">
        <v>46222.0</v>
      </c>
      <c r="N85" s="187">
        <v>46222.0</v>
      </c>
      <c r="O85" s="187">
        <v>46222.0</v>
      </c>
      <c r="P85" s="187">
        <v>46222.0</v>
      </c>
      <c r="Q85" s="187">
        <v>46222.0</v>
      </c>
      <c r="R85" s="187">
        <v>46222.0</v>
      </c>
      <c r="S85" s="187">
        <v>46222.0</v>
      </c>
      <c r="T85" s="187">
        <v>46222.0</v>
      </c>
      <c r="U85" s="187">
        <v>46222.0</v>
      </c>
      <c r="V85" s="187">
        <v>46222.0</v>
      </c>
      <c r="W85" s="187">
        <v>46222.0</v>
      </c>
      <c r="X85" s="187">
        <v>46222.0</v>
      </c>
      <c r="Y85" s="187">
        <v>46222.0</v>
      </c>
      <c r="Z85" s="187">
        <v>46222.0</v>
      </c>
      <c r="AA85" s="187">
        <v>46222.0</v>
      </c>
      <c r="AB85" s="187">
        <v>46222.0</v>
      </c>
      <c r="AC85" s="189">
        <v>46222.0</v>
      </c>
    </row>
    <row r="86" ht="72.75" customHeight="1">
      <c r="A86" s="190"/>
      <c r="B86" s="191" t="s">
        <v>870</v>
      </c>
      <c r="C86" s="192"/>
      <c r="D86" s="193"/>
      <c r="E86" s="194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6"/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AC4"/>
    <mergeCell ref="C5:AC5"/>
    <mergeCell ref="A2:B2"/>
    <mergeCell ref="C2:E2"/>
    <mergeCell ref="F2:K2"/>
    <mergeCell ref="L2:AC2"/>
    <mergeCell ref="C3:E3"/>
    <mergeCell ref="F3:K3"/>
    <mergeCell ref="L3:AC3"/>
    <mergeCell ref="F6:K6"/>
    <mergeCell ref="L6:N6"/>
    <mergeCell ref="O6:AC6"/>
    <mergeCell ref="A7:B7"/>
    <mergeCell ref="C7:E7"/>
    <mergeCell ref="F7:K7"/>
    <mergeCell ref="O7:AC7"/>
    <mergeCell ref="B83:D83"/>
    <mergeCell ref="B84:D84"/>
    <mergeCell ref="B85:D85"/>
    <mergeCell ref="B86:D86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149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126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41.0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879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COUNTIF(F39:T39,"P")</f>
        <v>7</v>
      </c>
      <c r="B7" s="130"/>
      <c r="C7" s="131">
        <f>COUNTIF(F39:T39,"F")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COUNTIF(F38:T38,"N")</f>
        <v>3</v>
      </c>
      <c r="M7" s="132">
        <f>COUNTIF(F38:T38,"A")</f>
        <v>4</v>
      </c>
      <c r="N7" s="132">
        <f>COUNTIF(F38:T38,"B")</f>
        <v>0</v>
      </c>
      <c r="O7" s="133">
        <f>COUNTA(F9:T9)</f>
        <v>7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/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912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916</v>
      </c>
      <c r="E12" s="145"/>
      <c r="F12" s="152" t="s">
        <v>742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762</v>
      </c>
      <c r="E13" s="145"/>
      <c r="F13" s="152"/>
      <c r="G13" s="152" t="s">
        <v>742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921</v>
      </c>
      <c r="E14" s="145"/>
      <c r="F14" s="152"/>
      <c r="G14" s="152"/>
      <c r="H14" s="152" t="s">
        <v>742</v>
      </c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923</v>
      </c>
      <c r="E15" s="145"/>
      <c r="F15" s="152"/>
      <c r="G15" s="152"/>
      <c r="H15" s="152"/>
      <c r="I15" s="152" t="s">
        <v>742</v>
      </c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925</v>
      </c>
      <c r="E16" s="145"/>
      <c r="F16" s="152"/>
      <c r="G16" s="152"/>
      <c r="H16" s="152"/>
      <c r="I16" s="152" t="s">
        <v>742</v>
      </c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927</v>
      </c>
      <c r="E17" s="145"/>
      <c r="F17" s="152"/>
      <c r="G17" s="152"/>
      <c r="H17" s="152"/>
      <c r="I17" s="152"/>
      <c r="J17" s="152" t="s">
        <v>742</v>
      </c>
      <c r="K17" s="152"/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929</v>
      </c>
      <c r="E18" s="145"/>
      <c r="F18" s="152"/>
      <c r="G18" s="152"/>
      <c r="H18" s="152"/>
      <c r="I18" s="152"/>
      <c r="J18" s="152"/>
      <c r="K18" s="152" t="s">
        <v>742</v>
      </c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930</v>
      </c>
      <c r="E19" s="145"/>
      <c r="F19" s="152"/>
      <c r="G19" s="152"/>
      <c r="H19" s="152"/>
      <c r="I19" s="152"/>
      <c r="J19" s="152"/>
      <c r="K19" s="152"/>
      <c r="L19" s="152" t="s">
        <v>742</v>
      </c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 t="s">
        <v>768</v>
      </c>
      <c r="C20" s="150"/>
      <c r="D20" s="151"/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933</v>
      </c>
      <c r="E21" s="145"/>
      <c r="F21" s="152" t="s">
        <v>742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935</v>
      </c>
      <c r="E22" s="145"/>
      <c r="F22" s="152"/>
      <c r="G22" s="152" t="s">
        <v>742</v>
      </c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793</v>
      </c>
      <c r="E23" s="145"/>
      <c r="F23" s="152"/>
      <c r="G23" s="152"/>
      <c r="H23" s="152" t="s">
        <v>742</v>
      </c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937</v>
      </c>
      <c r="E24" s="145"/>
      <c r="F24" s="152"/>
      <c r="G24" s="152"/>
      <c r="H24" s="152"/>
      <c r="I24" s="152" t="s">
        <v>742</v>
      </c>
      <c r="J24" s="152" t="s">
        <v>742</v>
      </c>
      <c r="K24" s="152" t="s">
        <v>742</v>
      </c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939</v>
      </c>
      <c r="E25" s="145"/>
      <c r="F25" s="152"/>
      <c r="G25" s="152"/>
      <c r="H25" s="152"/>
      <c r="I25" s="152"/>
      <c r="J25" s="152"/>
      <c r="K25" s="152"/>
      <c r="L25" s="152" t="s">
        <v>742</v>
      </c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54"/>
      <c r="C26" s="155"/>
      <c r="D26" s="156"/>
      <c r="E26" s="157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9"/>
    </row>
    <row r="27" ht="13.5" customHeight="1">
      <c r="A27" s="160" t="s">
        <v>802</v>
      </c>
      <c r="B27" s="161" t="s">
        <v>804</v>
      </c>
      <c r="C27" s="162"/>
      <c r="D27" s="163"/>
      <c r="E27" s="164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7"/>
    </row>
    <row r="28" ht="13.5" customHeight="1">
      <c r="A28" s="165"/>
      <c r="B28" s="166"/>
      <c r="C28" s="167"/>
      <c r="D28" s="168" t="s">
        <v>945</v>
      </c>
      <c r="E28" s="169"/>
      <c r="F28" s="152" t="s">
        <v>742</v>
      </c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66"/>
      <c r="C29" s="167"/>
      <c r="D29" s="168" t="s">
        <v>947</v>
      </c>
      <c r="E29" s="169"/>
      <c r="F29" s="152"/>
      <c r="G29" s="152"/>
      <c r="H29" s="152"/>
      <c r="I29" s="152" t="s">
        <v>742</v>
      </c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/>
      <c r="C30" s="167"/>
      <c r="D30" s="168" t="s">
        <v>949</v>
      </c>
      <c r="E30" s="169"/>
      <c r="F30" s="152"/>
      <c r="G30" s="152"/>
      <c r="H30" s="152"/>
      <c r="I30" s="152"/>
      <c r="J30" s="152" t="s">
        <v>742</v>
      </c>
      <c r="K30" s="152"/>
      <c r="L30" s="152"/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65"/>
      <c r="B31" s="166" t="s">
        <v>825</v>
      </c>
      <c r="C31" s="167"/>
      <c r="D31" s="168"/>
      <c r="E31" s="169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/>
      <c r="C32" s="167"/>
      <c r="D32" s="168" t="s">
        <v>847</v>
      </c>
      <c r="E32" s="169"/>
      <c r="F32" s="152"/>
      <c r="G32" s="152" t="s">
        <v>742</v>
      </c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952</v>
      </c>
      <c r="E33" s="169"/>
      <c r="F33" s="152"/>
      <c r="G33" s="152"/>
      <c r="H33" s="152" t="s">
        <v>742</v>
      </c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954</v>
      </c>
      <c r="E34" s="169"/>
      <c r="F34" s="152"/>
      <c r="G34" s="152"/>
      <c r="H34" s="152"/>
      <c r="I34" s="152"/>
      <c r="J34" s="152"/>
      <c r="K34" s="152" t="s">
        <v>742</v>
      </c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956</v>
      </c>
      <c r="E35" s="169"/>
      <c r="F35" s="152"/>
      <c r="G35" s="152"/>
      <c r="H35" s="152"/>
      <c r="I35" s="152"/>
      <c r="J35" s="152"/>
      <c r="K35" s="152"/>
      <c r="L35" s="152" t="s">
        <v>742</v>
      </c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 t="s">
        <v>854</v>
      </c>
      <c r="C36" s="167"/>
      <c r="D36" s="168"/>
      <c r="E36" s="169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70"/>
      <c r="C37" s="171"/>
      <c r="D37" s="172"/>
      <c r="E37" s="173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5"/>
    </row>
    <row r="38" ht="13.5" customHeight="1">
      <c r="A38" s="160" t="s">
        <v>865</v>
      </c>
      <c r="B38" s="176" t="s">
        <v>866</v>
      </c>
      <c r="C38" s="177"/>
      <c r="D38" s="178"/>
      <c r="E38" s="179"/>
      <c r="F38" s="180" t="s">
        <v>54</v>
      </c>
      <c r="G38" s="180" t="s">
        <v>55</v>
      </c>
      <c r="H38" s="180" t="s">
        <v>55</v>
      </c>
      <c r="I38" s="180" t="s">
        <v>54</v>
      </c>
      <c r="J38" s="180" t="s">
        <v>54</v>
      </c>
      <c r="K38" s="180" t="s">
        <v>55</v>
      </c>
      <c r="L38" s="180" t="s">
        <v>55</v>
      </c>
      <c r="M38" s="180"/>
      <c r="N38" s="180"/>
      <c r="O38" s="180"/>
      <c r="P38" s="180"/>
      <c r="Q38" s="180"/>
      <c r="R38" s="180"/>
      <c r="S38" s="180"/>
      <c r="T38" s="181"/>
    </row>
    <row r="39" ht="13.5" customHeight="1">
      <c r="A39" s="165"/>
      <c r="B39" s="182" t="s">
        <v>867</v>
      </c>
      <c r="C39" s="27"/>
      <c r="D39" s="25"/>
      <c r="E39" s="183"/>
      <c r="F39" s="184" t="s">
        <v>868</v>
      </c>
      <c r="G39" s="184" t="s">
        <v>868</v>
      </c>
      <c r="H39" s="184" t="s">
        <v>868</v>
      </c>
      <c r="I39" s="184" t="s">
        <v>868</v>
      </c>
      <c r="J39" s="184" t="s">
        <v>868</v>
      </c>
      <c r="K39" s="184" t="s">
        <v>868</v>
      </c>
      <c r="L39" s="184" t="s">
        <v>868</v>
      </c>
      <c r="M39" s="184"/>
      <c r="N39" s="184"/>
      <c r="O39" s="184"/>
      <c r="P39" s="184"/>
      <c r="Q39" s="184"/>
      <c r="R39" s="184"/>
      <c r="S39" s="184"/>
      <c r="T39" s="185"/>
    </row>
    <row r="40" ht="99.75" customHeight="1">
      <c r="A40" s="165"/>
      <c r="B40" s="186" t="s">
        <v>869</v>
      </c>
      <c r="C40" s="27"/>
      <c r="D40" s="25"/>
      <c r="E40" s="169"/>
      <c r="F40" s="187">
        <v>46213.0</v>
      </c>
      <c r="G40" s="187">
        <v>46213.0</v>
      </c>
      <c r="H40" s="187">
        <v>46213.0</v>
      </c>
      <c r="I40" s="187">
        <v>46213.0</v>
      </c>
      <c r="J40" s="187">
        <v>46213.0</v>
      </c>
      <c r="K40" s="187">
        <v>46213.0</v>
      </c>
      <c r="L40" s="187">
        <v>46213.0</v>
      </c>
      <c r="M40" s="197"/>
      <c r="N40" s="197"/>
      <c r="O40" s="197"/>
      <c r="P40" s="197"/>
      <c r="Q40" s="197"/>
      <c r="R40" s="197"/>
      <c r="S40" s="197"/>
      <c r="T40" s="188"/>
    </row>
    <row r="41" ht="72.75" customHeight="1">
      <c r="A41" s="190"/>
      <c r="B41" s="191" t="s">
        <v>870</v>
      </c>
      <c r="C41" s="192"/>
      <c r="D41" s="193"/>
      <c r="E41" s="194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6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8:D38"/>
    <mergeCell ref="B39:D39"/>
    <mergeCell ref="B40:D40"/>
    <mergeCell ref="B41:D41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154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132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41.0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976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COUNTIF(F31:T31,"P")</f>
        <v>4</v>
      </c>
      <c r="B7" s="130"/>
      <c r="C7" s="131">
        <f>COUNTIF(F31:T31,"F")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COUNTIF(F30:T30,"N")</f>
        <v>2</v>
      </c>
      <c r="M7" s="132">
        <f>COUNTIF(F30:T30,"A")</f>
        <v>1</v>
      </c>
      <c r="N7" s="132">
        <f>COUNTIF(F30:T30,"B")</f>
        <v>1</v>
      </c>
      <c r="O7" s="133">
        <f>COUNTA(F9:T9)</f>
        <v>4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912</v>
      </c>
      <c r="E11" s="145"/>
      <c r="F11" s="152" t="s">
        <v>742</v>
      </c>
      <c r="G11" s="152" t="s">
        <v>742</v>
      </c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977</v>
      </c>
      <c r="E12" s="145"/>
      <c r="F12" s="152" t="s">
        <v>742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750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978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 t="s">
        <v>768</v>
      </c>
      <c r="C15" s="150"/>
      <c r="D15" s="151"/>
      <c r="E15" s="145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979</v>
      </c>
      <c r="E16" s="145"/>
      <c r="F16" s="152" t="s">
        <v>742</v>
      </c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980</v>
      </c>
      <c r="E17" s="145"/>
      <c r="F17" s="152"/>
      <c r="G17" s="152" t="s">
        <v>742</v>
      </c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981</v>
      </c>
      <c r="E18" s="145"/>
      <c r="F18" s="152"/>
      <c r="G18" s="152"/>
      <c r="H18" s="152" t="s">
        <v>742</v>
      </c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982</v>
      </c>
      <c r="E19" s="145"/>
      <c r="F19" s="152"/>
      <c r="G19" s="152"/>
      <c r="H19" s="152"/>
      <c r="I19" s="152" t="s">
        <v>742</v>
      </c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54"/>
      <c r="C20" s="155"/>
      <c r="D20" s="156"/>
      <c r="E20" s="157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9"/>
    </row>
    <row r="21" ht="13.5" customHeight="1">
      <c r="A21" s="160" t="s">
        <v>802</v>
      </c>
      <c r="B21" s="161" t="s">
        <v>804</v>
      </c>
      <c r="C21" s="162"/>
      <c r="D21" s="163"/>
      <c r="E21" s="164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</row>
    <row r="22" ht="13.5" customHeight="1">
      <c r="A22" s="165"/>
      <c r="B22" s="166"/>
      <c r="C22" s="167"/>
      <c r="D22" s="168" t="s">
        <v>983</v>
      </c>
      <c r="E22" s="169"/>
      <c r="F22" s="152" t="s">
        <v>742</v>
      </c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65"/>
      <c r="B23" s="166"/>
      <c r="C23" s="167"/>
      <c r="D23" s="168" t="s">
        <v>984</v>
      </c>
      <c r="E23" s="169"/>
      <c r="F23" s="152" t="s">
        <v>742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65"/>
      <c r="B24" s="166"/>
      <c r="C24" s="167"/>
      <c r="D24" s="168" t="s">
        <v>985</v>
      </c>
      <c r="E24" s="169"/>
      <c r="F24" s="152"/>
      <c r="G24" s="152" t="s">
        <v>742</v>
      </c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65"/>
      <c r="B25" s="166"/>
      <c r="C25" s="167"/>
      <c r="D25" s="168" t="s">
        <v>986</v>
      </c>
      <c r="E25" s="169"/>
      <c r="F25" s="152"/>
      <c r="G25" s="152"/>
      <c r="H25" s="152"/>
      <c r="I25" s="152" t="s">
        <v>742</v>
      </c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65"/>
      <c r="B26" s="166" t="s">
        <v>825</v>
      </c>
      <c r="C26" s="167"/>
      <c r="D26" s="168"/>
      <c r="E26" s="169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65"/>
      <c r="B27" s="166"/>
      <c r="C27" s="167"/>
      <c r="D27" s="168" t="s">
        <v>987</v>
      </c>
      <c r="E27" s="169"/>
      <c r="F27" s="152"/>
      <c r="G27" s="152"/>
      <c r="H27" s="152" t="s">
        <v>742</v>
      </c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65"/>
      <c r="B28" s="166" t="s">
        <v>854</v>
      </c>
      <c r="C28" s="167"/>
      <c r="D28" s="168"/>
      <c r="E28" s="169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70"/>
      <c r="C29" s="171"/>
      <c r="D29" s="172"/>
      <c r="E29" s="173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5"/>
    </row>
    <row r="30" ht="13.5" customHeight="1">
      <c r="A30" s="160" t="s">
        <v>865</v>
      </c>
      <c r="B30" s="176" t="s">
        <v>866</v>
      </c>
      <c r="C30" s="177"/>
      <c r="D30" s="178"/>
      <c r="E30" s="179"/>
      <c r="F30" s="180" t="s">
        <v>54</v>
      </c>
      <c r="G30" s="180" t="s">
        <v>54</v>
      </c>
      <c r="H30" s="180" t="s">
        <v>55</v>
      </c>
      <c r="I30" s="180" t="s">
        <v>57</v>
      </c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1"/>
    </row>
    <row r="31" ht="13.5" customHeight="1">
      <c r="A31" s="165"/>
      <c r="B31" s="182" t="s">
        <v>867</v>
      </c>
      <c r="C31" s="27"/>
      <c r="D31" s="25"/>
      <c r="E31" s="183"/>
      <c r="F31" s="184" t="s">
        <v>868</v>
      </c>
      <c r="G31" s="184" t="s">
        <v>868</v>
      </c>
      <c r="H31" s="184" t="s">
        <v>868</v>
      </c>
      <c r="I31" s="184" t="s">
        <v>868</v>
      </c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5"/>
    </row>
    <row r="32" ht="99.75" customHeight="1">
      <c r="A32" s="165"/>
      <c r="B32" s="186" t="s">
        <v>869</v>
      </c>
      <c r="C32" s="27"/>
      <c r="D32" s="25"/>
      <c r="E32" s="169"/>
      <c r="F32" s="187">
        <v>46253.0</v>
      </c>
      <c r="G32" s="187">
        <v>46253.0</v>
      </c>
      <c r="H32" s="187">
        <v>46253.0</v>
      </c>
      <c r="I32" s="187">
        <v>46253.0</v>
      </c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88"/>
    </row>
    <row r="33" ht="72.75" customHeight="1">
      <c r="A33" s="190"/>
      <c r="B33" s="191" t="s">
        <v>870</v>
      </c>
      <c r="C33" s="192"/>
      <c r="D33" s="193"/>
      <c r="E33" s="194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6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0:D30"/>
    <mergeCell ref="B31:D31"/>
    <mergeCell ref="B32:D32"/>
    <mergeCell ref="B33:D33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4" width="3.57"/>
    <col customWidth="1" min="25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</row>
    <row r="2" ht="13.5" customHeight="1">
      <c r="A2" s="111" t="s">
        <v>707</v>
      </c>
      <c r="B2" s="112"/>
      <c r="C2" s="113" t="s">
        <v>159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140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4" ht="13.5" customHeight="1">
      <c r="A4" s="117" t="s">
        <v>711</v>
      </c>
      <c r="B4" s="27"/>
      <c r="C4" s="122">
        <v>109.0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ht="13.5" customHeight="1">
      <c r="A5" s="117" t="s">
        <v>713</v>
      </c>
      <c r="B5" s="27"/>
      <c r="C5" s="124" t="s">
        <v>988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</row>
    <row r="7" ht="13.5" customHeight="1">
      <c r="A7" s="129">
        <f>COUNTIF(F67:X67,"P")</f>
        <v>19</v>
      </c>
      <c r="B7" s="130"/>
      <c r="C7" s="131">
        <f>COUNTIF(F67:X67,"F")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COUNTIF(F66:X66,"N")</f>
        <v>6</v>
      </c>
      <c r="M7" s="132">
        <f>COUNTIF(F66:X66,"A")</f>
        <v>8</v>
      </c>
      <c r="N7" s="132">
        <f>COUNTIF(F66:X66,"B")</f>
        <v>5</v>
      </c>
      <c r="O7" s="133">
        <f>COUNTA(F9:X9)</f>
        <v>19</v>
      </c>
      <c r="P7" s="130"/>
      <c r="Q7" s="130"/>
      <c r="R7" s="130"/>
      <c r="S7" s="130"/>
      <c r="T7" s="130"/>
      <c r="U7" s="130"/>
      <c r="V7" s="130"/>
      <c r="W7" s="130"/>
      <c r="X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40" t="s">
        <v>734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7"/>
    </row>
    <row r="11" ht="13.5" customHeight="1">
      <c r="A11" s="148"/>
      <c r="B11" s="149"/>
      <c r="C11" s="150"/>
      <c r="D11" s="151" t="s">
        <v>989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3"/>
    </row>
    <row r="12" ht="13.5" customHeight="1">
      <c r="A12" s="148"/>
      <c r="B12" s="149"/>
      <c r="C12" s="150"/>
      <c r="D12" s="151" t="s">
        <v>990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3"/>
    </row>
    <row r="13" ht="13.5" customHeight="1">
      <c r="A13" s="148"/>
      <c r="B13" s="149"/>
      <c r="C13" s="150"/>
      <c r="D13" s="151" t="s">
        <v>991</v>
      </c>
      <c r="E13" s="145"/>
      <c r="F13" s="152"/>
      <c r="G13" s="152"/>
      <c r="H13" s="152" t="s">
        <v>742</v>
      </c>
      <c r="I13" s="152" t="s">
        <v>742</v>
      </c>
      <c r="J13" s="152" t="s">
        <v>742</v>
      </c>
      <c r="K13" s="152" t="s">
        <v>742</v>
      </c>
      <c r="L13" s="152" t="s">
        <v>742</v>
      </c>
      <c r="M13" s="152" t="s">
        <v>742</v>
      </c>
      <c r="N13" s="152" t="s">
        <v>742</v>
      </c>
      <c r="O13" s="152" t="s">
        <v>742</v>
      </c>
      <c r="P13" s="152" t="s">
        <v>742</v>
      </c>
      <c r="Q13" s="152" t="s">
        <v>742</v>
      </c>
      <c r="R13" s="152"/>
      <c r="S13" s="152"/>
      <c r="T13" s="152"/>
      <c r="U13" s="152"/>
      <c r="V13" s="152"/>
      <c r="W13" s="152"/>
      <c r="X13" s="153"/>
    </row>
    <row r="14" ht="13.5" customHeight="1">
      <c r="A14" s="148"/>
      <c r="B14" s="149"/>
      <c r="C14" s="150"/>
      <c r="D14" s="151" t="s">
        <v>993</v>
      </c>
      <c r="E14" s="145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 t="s">
        <v>742</v>
      </c>
      <c r="S14" s="152"/>
      <c r="T14" s="152"/>
      <c r="U14" s="152"/>
      <c r="V14" s="152"/>
      <c r="W14" s="152"/>
      <c r="X14" s="153"/>
    </row>
    <row r="15" ht="13.5" customHeight="1">
      <c r="A15" s="148"/>
      <c r="B15" s="149"/>
      <c r="C15" s="150"/>
      <c r="D15" s="151" t="s">
        <v>994</v>
      </c>
      <c r="E15" s="145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 t="s">
        <v>742</v>
      </c>
      <c r="T15" s="152"/>
      <c r="U15" s="152"/>
      <c r="V15" s="152"/>
      <c r="W15" s="152"/>
      <c r="X15" s="153"/>
    </row>
    <row r="16" ht="13.5" customHeight="1">
      <c r="A16" s="148"/>
      <c r="B16" s="149"/>
      <c r="C16" s="150"/>
      <c r="D16" s="151" t="s">
        <v>995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 t="s">
        <v>742</v>
      </c>
      <c r="U16" s="152"/>
      <c r="V16" s="152"/>
      <c r="W16" s="152"/>
      <c r="X16" s="153"/>
    </row>
    <row r="17" ht="13.5" customHeight="1">
      <c r="A17" s="148"/>
      <c r="B17" s="149"/>
      <c r="C17" s="150"/>
      <c r="D17" s="151" t="s">
        <v>996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 t="s">
        <v>742</v>
      </c>
      <c r="U17" s="152"/>
      <c r="V17" s="152"/>
      <c r="W17" s="152"/>
      <c r="X17" s="153"/>
    </row>
    <row r="18" ht="13.5" customHeight="1">
      <c r="A18" s="148"/>
      <c r="B18" s="149"/>
      <c r="C18" s="150"/>
      <c r="D18" s="151" t="s">
        <v>997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 t="s">
        <v>742</v>
      </c>
      <c r="V18" s="152"/>
      <c r="W18" s="152"/>
      <c r="X18" s="153"/>
    </row>
    <row r="19" ht="13.5" customHeight="1">
      <c r="A19" s="148"/>
      <c r="B19" s="149"/>
      <c r="C19" s="150"/>
      <c r="D19" s="151" t="s">
        <v>998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 t="s">
        <v>742</v>
      </c>
      <c r="W19" s="152"/>
      <c r="X19" s="153"/>
    </row>
    <row r="20" ht="13.5" customHeight="1">
      <c r="A20" s="148"/>
      <c r="B20" s="149"/>
      <c r="C20" s="150"/>
      <c r="D20" s="151" t="s">
        <v>999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 t="s">
        <v>742</v>
      </c>
      <c r="X20" s="153"/>
    </row>
    <row r="21" ht="13.5" customHeight="1">
      <c r="A21" s="148"/>
      <c r="B21" s="149"/>
      <c r="C21" s="150"/>
      <c r="D21" s="151" t="s">
        <v>1000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3" t="s">
        <v>742</v>
      </c>
    </row>
    <row r="22" ht="13.5" customHeight="1">
      <c r="A22" s="148"/>
      <c r="B22" s="149" t="s">
        <v>768</v>
      </c>
      <c r="C22" s="150"/>
      <c r="D22" s="151"/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3"/>
    </row>
    <row r="23" ht="13.5" customHeight="1">
      <c r="A23" s="148"/>
      <c r="B23" s="149"/>
      <c r="C23" s="150"/>
      <c r="D23" s="151" t="s">
        <v>793</v>
      </c>
      <c r="E23" s="145"/>
      <c r="F23" s="152" t="s">
        <v>742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3"/>
    </row>
    <row r="24" ht="13.5" customHeight="1">
      <c r="A24" s="148"/>
      <c r="B24" s="149"/>
      <c r="C24" s="150"/>
      <c r="D24" s="151" t="s">
        <v>1001</v>
      </c>
      <c r="E24" s="145"/>
      <c r="F24" s="152"/>
      <c r="G24" s="152" t="s">
        <v>742</v>
      </c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3"/>
    </row>
    <row r="25" ht="13.5" customHeight="1">
      <c r="A25" s="148"/>
      <c r="B25" s="149"/>
      <c r="C25" s="150"/>
      <c r="D25" s="151" t="s">
        <v>1002</v>
      </c>
      <c r="E25" s="145"/>
      <c r="F25" s="152"/>
      <c r="G25" s="152"/>
      <c r="H25" s="152" t="s">
        <v>742</v>
      </c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3"/>
    </row>
    <row r="26" ht="13.5" customHeight="1">
      <c r="A26" s="148"/>
      <c r="B26" s="149"/>
      <c r="C26" s="150"/>
      <c r="D26" s="151" t="s">
        <v>1003</v>
      </c>
      <c r="E26" s="145"/>
      <c r="F26" s="152"/>
      <c r="G26" s="152"/>
      <c r="H26" s="152"/>
      <c r="I26" s="152" t="s">
        <v>742</v>
      </c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3"/>
    </row>
    <row r="27" ht="13.5" customHeight="1">
      <c r="A27" s="148"/>
      <c r="B27" s="149"/>
      <c r="C27" s="150"/>
      <c r="D27" s="151" t="s">
        <v>1004</v>
      </c>
      <c r="E27" s="145"/>
      <c r="F27" s="152"/>
      <c r="G27" s="152"/>
      <c r="H27" s="152"/>
      <c r="I27" s="152"/>
      <c r="J27" s="152" t="s">
        <v>742</v>
      </c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3"/>
    </row>
    <row r="28" ht="13.5" customHeight="1">
      <c r="A28" s="148"/>
      <c r="B28" s="149"/>
      <c r="C28" s="150"/>
      <c r="D28" s="151" t="s">
        <v>1005</v>
      </c>
      <c r="E28" s="145"/>
      <c r="F28" s="152"/>
      <c r="G28" s="152"/>
      <c r="H28" s="152"/>
      <c r="I28" s="152"/>
      <c r="J28" s="152"/>
      <c r="K28" s="152" t="s">
        <v>742</v>
      </c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3"/>
    </row>
    <row r="29" ht="13.5" customHeight="1">
      <c r="A29" s="148"/>
      <c r="B29" s="149"/>
      <c r="C29" s="150"/>
      <c r="D29" s="151" t="s">
        <v>1006</v>
      </c>
      <c r="E29" s="145"/>
      <c r="F29" s="152"/>
      <c r="G29" s="152"/>
      <c r="H29" s="152"/>
      <c r="I29" s="152"/>
      <c r="J29" s="152"/>
      <c r="K29" s="152"/>
      <c r="L29" s="152" t="s">
        <v>742</v>
      </c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3"/>
    </row>
    <row r="30" ht="13.5" customHeight="1">
      <c r="A30" s="148"/>
      <c r="B30" s="149"/>
      <c r="C30" s="150"/>
      <c r="D30" s="151" t="s">
        <v>1007</v>
      </c>
      <c r="E30" s="145"/>
      <c r="F30" s="152"/>
      <c r="G30" s="152"/>
      <c r="H30" s="152"/>
      <c r="I30" s="152"/>
      <c r="J30" s="152"/>
      <c r="K30" s="152"/>
      <c r="L30" s="152"/>
      <c r="M30" s="152" t="s">
        <v>742</v>
      </c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3"/>
    </row>
    <row r="31" ht="13.5" customHeight="1">
      <c r="A31" s="148"/>
      <c r="B31" s="149"/>
      <c r="C31" s="150"/>
      <c r="D31" s="151" t="s">
        <v>1009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 t="s">
        <v>742</v>
      </c>
      <c r="O31" s="152"/>
      <c r="P31" s="152"/>
      <c r="Q31" s="152"/>
      <c r="R31" s="152"/>
      <c r="S31" s="152"/>
      <c r="T31" s="152"/>
      <c r="U31" s="152"/>
      <c r="V31" s="152"/>
      <c r="W31" s="152"/>
      <c r="X31" s="153"/>
    </row>
    <row r="32" ht="13.5" customHeight="1">
      <c r="A32" s="148"/>
      <c r="B32" s="149"/>
      <c r="C32" s="150"/>
      <c r="D32" s="151" t="s">
        <v>1011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 t="s">
        <v>742</v>
      </c>
      <c r="P32" s="152"/>
      <c r="Q32" s="152"/>
      <c r="R32" s="152"/>
      <c r="S32" s="152"/>
      <c r="T32" s="152"/>
      <c r="U32" s="152"/>
      <c r="V32" s="152"/>
      <c r="W32" s="152"/>
      <c r="X32" s="153"/>
    </row>
    <row r="33" ht="13.5" customHeight="1">
      <c r="A33" s="148"/>
      <c r="B33" s="149"/>
      <c r="C33" s="150"/>
      <c r="D33" s="151" t="s">
        <v>1013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 t="s">
        <v>742</v>
      </c>
      <c r="Q33" s="152"/>
      <c r="R33" s="152"/>
      <c r="S33" s="152"/>
      <c r="T33" s="152"/>
      <c r="U33" s="152"/>
      <c r="V33" s="152"/>
      <c r="W33" s="152"/>
      <c r="X33" s="153"/>
    </row>
    <row r="34" ht="13.5" customHeight="1">
      <c r="A34" s="148"/>
      <c r="B34" s="149"/>
      <c r="C34" s="150"/>
      <c r="D34" s="151" t="s">
        <v>1016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 t="s">
        <v>742</v>
      </c>
      <c r="R34" s="152"/>
      <c r="S34" s="152"/>
      <c r="T34" s="152"/>
      <c r="U34" s="152"/>
      <c r="V34" s="152"/>
      <c r="W34" s="152"/>
      <c r="X34" s="153"/>
    </row>
    <row r="35" ht="13.5" customHeight="1">
      <c r="A35" s="148"/>
      <c r="B35" s="149"/>
      <c r="C35" s="150"/>
      <c r="D35" s="151" t="s">
        <v>1019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 t="s">
        <v>742</v>
      </c>
      <c r="S35" s="152"/>
      <c r="T35" s="152"/>
      <c r="U35" s="152"/>
      <c r="V35" s="152"/>
      <c r="W35" s="152"/>
      <c r="X35" s="153"/>
    </row>
    <row r="36" ht="13.5" customHeight="1">
      <c r="A36" s="148"/>
      <c r="B36" s="149"/>
      <c r="C36" s="150"/>
      <c r="D36" s="151" t="s">
        <v>1021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 t="s">
        <v>742</v>
      </c>
      <c r="T36" s="152"/>
      <c r="U36" s="152"/>
      <c r="V36" s="152"/>
      <c r="W36" s="152"/>
      <c r="X36" s="153"/>
    </row>
    <row r="37" ht="13.5" customHeight="1">
      <c r="A37" s="148"/>
      <c r="B37" s="149"/>
      <c r="C37" s="150"/>
      <c r="D37" s="151" t="s">
        <v>1024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 t="s">
        <v>742</v>
      </c>
      <c r="U37" s="152"/>
      <c r="V37" s="152"/>
      <c r="W37" s="152"/>
      <c r="X37" s="153"/>
    </row>
    <row r="38" ht="13.5" customHeight="1">
      <c r="A38" s="148"/>
      <c r="B38" s="149"/>
      <c r="C38" s="150"/>
      <c r="D38" s="151" t="s">
        <v>1026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 t="s">
        <v>742</v>
      </c>
      <c r="V38" s="152"/>
      <c r="W38" s="152"/>
      <c r="X38" s="153"/>
    </row>
    <row r="39" ht="13.5" customHeight="1">
      <c r="A39" s="148"/>
      <c r="B39" s="149"/>
      <c r="C39" s="150"/>
      <c r="D39" s="151" t="s">
        <v>1028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 t="s">
        <v>742</v>
      </c>
      <c r="W39" s="152"/>
      <c r="X39" s="153"/>
    </row>
    <row r="40" ht="13.5" customHeight="1">
      <c r="A40" s="148"/>
      <c r="B40" s="149"/>
      <c r="C40" s="150"/>
      <c r="D40" s="151" t="s">
        <v>1030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 t="s">
        <v>742</v>
      </c>
      <c r="X40" s="153"/>
    </row>
    <row r="41" ht="13.5" customHeight="1">
      <c r="A41" s="148"/>
      <c r="B41" s="149"/>
      <c r="C41" s="150"/>
      <c r="D41" s="151" t="s">
        <v>1033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3" t="s">
        <v>742</v>
      </c>
    </row>
    <row r="42" ht="13.5" customHeight="1">
      <c r="A42" s="148"/>
      <c r="B42" s="154"/>
      <c r="C42" s="155"/>
      <c r="D42" s="156"/>
      <c r="E42" s="157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9"/>
    </row>
    <row r="43" ht="13.5" customHeight="1">
      <c r="A43" s="160" t="s">
        <v>802</v>
      </c>
      <c r="B43" s="161" t="s">
        <v>804</v>
      </c>
      <c r="C43" s="162"/>
      <c r="D43" s="163"/>
      <c r="E43" s="164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7"/>
    </row>
    <row r="44" ht="13.5" customHeight="1">
      <c r="A44" s="165"/>
      <c r="B44" s="166"/>
      <c r="C44" s="167"/>
      <c r="D44" s="168" t="s">
        <v>1039</v>
      </c>
      <c r="E44" s="169"/>
      <c r="F44" s="152" t="s">
        <v>742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3"/>
    </row>
    <row r="45" ht="13.5" customHeight="1">
      <c r="A45" s="165"/>
      <c r="B45" s="166"/>
      <c r="C45" s="167"/>
      <c r="D45" s="168" t="s">
        <v>1040</v>
      </c>
      <c r="E45" s="169"/>
      <c r="F45" s="152"/>
      <c r="G45" s="152" t="s">
        <v>742</v>
      </c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3"/>
    </row>
    <row r="46" ht="13.5" customHeight="1">
      <c r="A46" s="165"/>
      <c r="B46" s="166"/>
      <c r="C46" s="167"/>
      <c r="D46" s="168" t="s">
        <v>1043</v>
      </c>
      <c r="E46" s="169"/>
      <c r="F46" s="152"/>
      <c r="G46" s="152"/>
      <c r="H46" s="152" t="s">
        <v>742</v>
      </c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3"/>
    </row>
    <row r="47" ht="13.5" customHeight="1">
      <c r="A47" s="165"/>
      <c r="B47" s="166"/>
      <c r="C47" s="167"/>
      <c r="D47" s="168" t="s">
        <v>1045</v>
      </c>
      <c r="E47" s="169"/>
      <c r="F47" s="152"/>
      <c r="G47" s="152"/>
      <c r="H47" s="152"/>
      <c r="I47" s="152"/>
      <c r="J47" s="152"/>
      <c r="K47" s="152"/>
      <c r="L47" s="152" t="s">
        <v>742</v>
      </c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3"/>
    </row>
    <row r="48" ht="13.5" customHeight="1">
      <c r="A48" s="165"/>
      <c r="B48" s="166"/>
      <c r="C48" s="167"/>
      <c r="D48" s="168" t="s">
        <v>1047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 t="s">
        <v>742</v>
      </c>
      <c r="P48" s="152"/>
      <c r="Q48" s="152"/>
      <c r="R48" s="152"/>
      <c r="S48" s="152"/>
      <c r="T48" s="152"/>
      <c r="U48" s="152"/>
      <c r="V48" s="152"/>
      <c r="W48" s="152"/>
      <c r="X48" s="153"/>
    </row>
    <row r="49" ht="13.5" customHeight="1">
      <c r="A49" s="165"/>
      <c r="B49" s="166"/>
      <c r="C49" s="167"/>
      <c r="D49" s="168" t="s">
        <v>1050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 t="s">
        <v>742</v>
      </c>
      <c r="S49" s="152"/>
      <c r="T49" s="152"/>
      <c r="U49" s="152"/>
      <c r="V49" s="152"/>
      <c r="W49" s="152"/>
      <c r="X49" s="153"/>
    </row>
    <row r="50" ht="13.5" customHeight="1">
      <c r="A50" s="165"/>
      <c r="B50" s="166"/>
      <c r="C50" s="167"/>
      <c r="D50" s="168" t="s">
        <v>1053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 t="s">
        <v>742</v>
      </c>
      <c r="U50" s="152"/>
      <c r="V50" s="152"/>
      <c r="W50" s="152"/>
      <c r="X50" s="153"/>
    </row>
    <row r="51" ht="13.5" customHeight="1">
      <c r="A51" s="165"/>
      <c r="B51" s="166"/>
      <c r="C51" s="167"/>
      <c r="D51" s="168" t="s">
        <v>1055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 t="s">
        <v>742</v>
      </c>
      <c r="W51" s="152"/>
      <c r="X51" s="153"/>
    </row>
    <row r="52" ht="13.5" customHeight="1">
      <c r="A52" s="165"/>
      <c r="B52" s="166"/>
      <c r="C52" s="167"/>
      <c r="D52" s="168" t="s">
        <v>1057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 t="s">
        <v>742</v>
      </c>
      <c r="W52" s="152"/>
      <c r="X52" s="153"/>
    </row>
    <row r="53" ht="13.5" customHeight="1">
      <c r="A53" s="165"/>
      <c r="B53" s="166" t="s">
        <v>825</v>
      </c>
      <c r="C53" s="167"/>
      <c r="D53" s="168"/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3"/>
    </row>
    <row r="54" ht="13.5" customHeight="1">
      <c r="A54" s="165"/>
      <c r="B54" s="166"/>
      <c r="C54" s="167"/>
      <c r="D54" s="168" t="s">
        <v>1059</v>
      </c>
      <c r="E54" s="169"/>
      <c r="F54" s="152"/>
      <c r="G54" s="152"/>
      <c r="H54" s="152"/>
      <c r="I54" s="152" t="s">
        <v>742</v>
      </c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3"/>
    </row>
    <row r="55" ht="13.5" customHeight="1">
      <c r="A55" s="165"/>
      <c r="B55" s="166"/>
      <c r="C55" s="167"/>
      <c r="D55" s="168" t="s">
        <v>1060</v>
      </c>
      <c r="E55" s="169"/>
      <c r="F55" s="152"/>
      <c r="G55" s="152"/>
      <c r="H55" s="152"/>
      <c r="I55" s="152"/>
      <c r="J55" s="152" t="s">
        <v>742</v>
      </c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3"/>
    </row>
    <row r="56" ht="13.5" customHeight="1">
      <c r="A56" s="165"/>
      <c r="B56" s="166"/>
      <c r="C56" s="167"/>
      <c r="D56" s="168" t="s">
        <v>1061</v>
      </c>
      <c r="E56" s="169"/>
      <c r="F56" s="152"/>
      <c r="G56" s="152"/>
      <c r="H56" s="152"/>
      <c r="I56" s="152"/>
      <c r="J56" s="152"/>
      <c r="K56" s="152" t="s">
        <v>742</v>
      </c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3"/>
    </row>
    <row r="57" ht="13.5" customHeight="1">
      <c r="A57" s="165"/>
      <c r="B57" s="166"/>
      <c r="C57" s="167"/>
      <c r="D57" s="168" t="s">
        <v>1062</v>
      </c>
      <c r="E57" s="169"/>
      <c r="F57" s="152"/>
      <c r="G57" s="152"/>
      <c r="H57" s="152"/>
      <c r="I57" s="152"/>
      <c r="J57" s="152"/>
      <c r="K57" s="152"/>
      <c r="L57" s="152"/>
      <c r="M57" s="152" t="s">
        <v>742</v>
      </c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3"/>
    </row>
    <row r="58" ht="13.5" customHeight="1">
      <c r="A58" s="165"/>
      <c r="B58" s="166"/>
      <c r="C58" s="167"/>
      <c r="D58" s="168" t="s">
        <v>1064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 t="s">
        <v>742</v>
      </c>
      <c r="O58" s="152"/>
      <c r="P58" s="152"/>
      <c r="Q58" s="152"/>
      <c r="R58" s="152"/>
      <c r="S58" s="152"/>
      <c r="T58" s="152"/>
      <c r="U58" s="152"/>
      <c r="V58" s="152"/>
      <c r="W58" s="152"/>
      <c r="X58" s="153"/>
    </row>
    <row r="59" ht="13.5" customHeight="1">
      <c r="A59" s="165"/>
      <c r="B59" s="166"/>
      <c r="C59" s="167"/>
      <c r="D59" s="168" t="s">
        <v>1065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 t="s">
        <v>742</v>
      </c>
      <c r="Q59" s="152"/>
      <c r="R59" s="152"/>
      <c r="S59" s="152"/>
      <c r="T59" s="152"/>
      <c r="U59" s="152"/>
      <c r="V59" s="152"/>
      <c r="W59" s="152"/>
      <c r="X59" s="153"/>
    </row>
    <row r="60" ht="13.5" customHeight="1">
      <c r="A60" s="165"/>
      <c r="B60" s="166"/>
      <c r="C60" s="167"/>
      <c r="D60" s="168" t="s">
        <v>1066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 t="s">
        <v>742</v>
      </c>
      <c r="R60" s="152"/>
      <c r="S60" s="152"/>
      <c r="T60" s="152"/>
      <c r="U60" s="152"/>
      <c r="V60" s="152"/>
      <c r="W60" s="152"/>
      <c r="X60" s="153"/>
    </row>
    <row r="61" ht="13.5" customHeight="1">
      <c r="A61" s="165"/>
      <c r="B61" s="166"/>
      <c r="C61" s="167"/>
      <c r="D61" s="168" t="s">
        <v>1067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 t="s">
        <v>742</v>
      </c>
      <c r="T61" s="152"/>
      <c r="U61" s="152" t="s">
        <v>742</v>
      </c>
      <c r="V61" s="152"/>
      <c r="W61" s="152"/>
      <c r="X61" s="153"/>
    </row>
    <row r="62" ht="13.5" customHeight="1">
      <c r="A62" s="165"/>
      <c r="B62" s="166"/>
      <c r="C62" s="167"/>
      <c r="D62" s="168" t="s">
        <v>1068</v>
      </c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 t="s">
        <v>742</v>
      </c>
      <c r="X62" s="153"/>
    </row>
    <row r="63" ht="13.5" customHeight="1">
      <c r="A63" s="165"/>
      <c r="B63" s="166"/>
      <c r="C63" s="167"/>
      <c r="D63" s="168" t="s">
        <v>1069</v>
      </c>
      <c r="E63" s="169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3" t="s">
        <v>742</v>
      </c>
    </row>
    <row r="64" ht="13.5" customHeight="1">
      <c r="A64" s="165"/>
      <c r="B64" s="166" t="s">
        <v>854</v>
      </c>
      <c r="C64" s="167"/>
      <c r="D64" s="168"/>
      <c r="E64" s="169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3"/>
    </row>
    <row r="65" ht="13.5" customHeight="1">
      <c r="A65" s="165"/>
      <c r="B65" s="170"/>
      <c r="C65" s="171"/>
      <c r="D65" s="172"/>
      <c r="E65" s="173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5"/>
    </row>
    <row r="66" ht="13.5" customHeight="1">
      <c r="A66" s="160" t="s">
        <v>865</v>
      </c>
      <c r="B66" s="176" t="s">
        <v>866</v>
      </c>
      <c r="C66" s="177"/>
      <c r="D66" s="178"/>
      <c r="E66" s="179"/>
      <c r="F66" s="180" t="s">
        <v>54</v>
      </c>
      <c r="G66" s="180" t="s">
        <v>54</v>
      </c>
      <c r="H66" s="180" t="s">
        <v>54</v>
      </c>
      <c r="I66" s="180" t="s">
        <v>55</v>
      </c>
      <c r="J66" s="180" t="s">
        <v>55</v>
      </c>
      <c r="K66" s="180" t="s">
        <v>55</v>
      </c>
      <c r="L66" s="180" t="s">
        <v>57</v>
      </c>
      <c r="M66" s="180" t="s">
        <v>55</v>
      </c>
      <c r="N66" s="180" t="s">
        <v>55</v>
      </c>
      <c r="O66" s="180" t="s">
        <v>57</v>
      </c>
      <c r="P66" s="180" t="s">
        <v>57</v>
      </c>
      <c r="Q66" s="180" t="s">
        <v>57</v>
      </c>
      <c r="R66" s="180" t="s">
        <v>54</v>
      </c>
      <c r="S66" s="180" t="s">
        <v>55</v>
      </c>
      <c r="T66" s="180" t="s">
        <v>54</v>
      </c>
      <c r="U66" s="180" t="s">
        <v>55</v>
      </c>
      <c r="V66" s="180" t="s">
        <v>54</v>
      </c>
      <c r="W66" s="180" t="s">
        <v>55</v>
      </c>
      <c r="X66" s="181" t="s">
        <v>57</v>
      </c>
    </row>
    <row r="67" ht="13.5" customHeight="1">
      <c r="A67" s="165"/>
      <c r="B67" s="182" t="s">
        <v>867</v>
      </c>
      <c r="C67" s="27"/>
      <c r="D67" s="25"/>
      <c r="E67" s="183"/>
      <c r="F67" s="184" t="s">
        <v>868</v>
      </c>
      <c r="G67" s="184" t="s">
        <v>868</v>
      </c>
      <c r="H67" s="184" t="s">
        <v>868</v>
      </c>
      <c r="I67" s="184" t="s">
        <v>868</v>
      </c>
      <c r="J67" s="184" t="s">
        <v>868</v>
      </c>
      <c r="K67" s="184" t="s">
        <v>868</v>
      </c>
      <c r="L67" s="184" t="s">
        <v>868</v>
      </c>
      <c r="M67" s="184" t="s">
        <v>868</v>
      </c>
      <c r="N67" s="184" t="s">
        <v>868</v>
      </c>
      <c r="O67" s="184" t="s">
        <v>868</v>
      </c>
      <c r="P67" s="184" t="s">
        <v>868</v>
      </c>
      <c r="Q67" s="184" t="s">
        <v>868</v>
      </c>
      <c r="R67" s="184" t="s">
        <v>868</v>
      </c>
      <c r="S67" s="184" t="s">
        <v>868</v>
      </c>
      <c r="T67" s="184" t="s">
        <v>868</v>
      </c>
      <c r="U67" s="184" t="s">
        <v>868</v>
      </c>
      <c r="V67" s="184" t="s">
        <v>868</v>
      </c>
      <c r="W67" s="184" t="s">
        <v>868</v>
      </c>
      <c r="X67" s="185" t="s">
        <v>868</v>
      </c>
    </row>
    <row r="68" ht="99.75" customHeight="1">
      <c r="A68" s="165"/>
      <c r="B68" s="186" t="s">
        <v>869</v>
      </c>
      <c r="C68" s="27"/>
      <c r="D68" s="25"/>
      <c r="E68" s="169"/>
      <c r="F68" s="187">
        <v>46255.0</v>
      </c>
      <c r="G68" s="187">
        <v>46255.0</v>
      </c>
      <c r="H68" s="187">
        <v>46255.0</v>
      </c>
      <c r="I68" s="187">
        <v>46255.0</v>
      </c>
      <c r="J68" s="187">
        <v>46255.0</v>
      </c>
      <c r="K68" s="187">
        <v>46255.0</v>
      </c>
      <c r="L68" s="187">
        <v>46255.0</v>
      </c>
      <c r="M68" s="187">
        <v>46255.0</v>
      </c>
      <c r="N68" s="187">
        <v>46255.0</v>
      </c>
      <c r="O68" s="187">
        <v>46255.0</v>
      </c>
      <c r="P68" s="187">
        <v>46255.0</v>
      </c>
      <c r="Q68" s="187">
        <v>46255.0</v>
      </c>
      <c r="R68" s="187">
        <v>46255.0</v>
      </c>
      <c r="S68" s="187">
        <v>46255.0</v>
      </c>
      <c r="T68" s="187">
        <v>46255.0</v>
      </c>
      <c r="U68" s="187">
        <v>46255.0</v>
      </c>
      <c r="V68" s="187">
        <v>46255.0</v>
      </c>
      <c r="W68" s="187">
        <v>46255.0</v>
      </c>
      <c r="X68" s="189">
        <v>46255.0</v>
      </c>
    </row>
    <row r="69" ht="72.75" customHeight="1">
      <c r="A69" s="190"/>
      <c r="B69" s="191" t="s">
        <v>870</v>
      </c>
      <c r="C69" s="192"/>
      <c r="D69" s="193"/>
      <c r="E69" s="194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6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X4"/>
    <mergeCell ref="C5:X5"/>
    <mergeCell ref="A2:B2"/>
    <mergeCell ref="C2:E2"/>
    <mergeCell ref="F2:K2"/>
    <mergeCell ref="L2:X2"/>
    <mergeCell ref="C3:E3"/>
    <mergeCell ref="F3:K3"/>
    <mergeCell ref="L3:X3"/>
    <mergeCell ref="F6:K6"/>
    <mergeCell ref="L6:N6"/>
    <mergeCell ref="O6:X6"/>
    <mergeCell ref="A7:B7"/>
    <mergeCell ref="C7:E7"/>
    <mergeCell ref="F7:K7"/>
    <mergeCell ref="O7:X7"/>
    <mergeCell ref="B66:D66"/>
    <mergeCell ref="B67:D67"/>
    <mergeCell ref="B68:D68"/>
    <mergeCell ref="B69:D69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171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146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117.0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992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COUNTIF(F49:T49,"P")</f>
        <v>11</v>
      </c>
      <c r="B7" s="130"/>
      <c r="C7" s="131">
        <f>COUNTIF(F49:T49,"F")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COUNTIF(F48:T48,"N")</f>
        <v>9</v>
      </c>
      <c r="M7" s="132">
        <f>COUNTIF(F48:T48,"A")</f>
        <v>0</v>
      </c>
      <c r="N7" s="132">
        <f>COUNTIF(F48:T48,"B")</f>
        <v>2</v>
      </c>
      <c r="O7" s="133">
        <f>COUNTA(F9:T9)</f>
        <v>11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1008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1010</v>
      </c>
      <c r="E12" s="145"/>
      <c r="F12" s="152" t="s">
        <v>742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1012</v>
      </c>
      <c r="E13" s="145"/>
      <c r="F13" s="152"/>
      <c r="G13" s="152" t="s">
        <v>742</v>
      </c>
      <c r="H13" s="152" t="s">
        <v>742</v>
      </c>
      <c r="I13" s="152" t="s">
        <v>742</v>
      </c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1014</v>
      </c>
      <c r="E14" s="145"/>
      <c r="F14" s="152"/>
      <c r="G14" s="152"/>
      <c r="H14" s="152"/>
      <c r="I14" s="152"/>
      <c r="J14" s="152" t="s">
        <v>742</v>
      </c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1015</v>
      </c>
      <c r="E15" s="145"/>
      <c r="F15" s="152"/>
      <c r="G15" s="152"/>
      <c r="H15" s="152"/>
      <c r="I15" s="152"/>
      <c r="J15" s="152"/>
      <c r="K15" s="152" t="s">
        <v>742</v>
      </c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1017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1018</v>
      </c>
      <c r="E17" s="145"/>
      <c r="F17" s="152"/>
      <c r="G17" s="152"/>
      <c r="H17" s="152"/>
      <c r="I17" s="152"/>
      <c r="J17" s="152"/>
      <c r="K17" s="152" t="s">
        <v>742</v>
      </c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1020</v>
      </c>
      <c r="E18" s="145"/>
      <c r="F18" s="152"/>
      <c r="G18" s="152"/>
      <c r="H18" s="152"/>
      <c r="I18" s="152"/>
      <c r="J18" s="152"/>
      <c r="K18" s="152"/>
      <c r="L18" s="152" t="s">
        <v>742</v>
      </c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1022</v>
      </c>
      <c r="E19" s="145"/>
      <c r="F19" s="152"/>
      <c r="G19" s="152"/>
      <c r="H19" s="152"/>
      <c r="I19" s="152"/>
      <c r="J19" s="152"/>
      <c r="K19" s="152"/>
      <c r="L19" s="152"/>
      <c r="M19" s="152" t="s">
        <v>742</v>
      </c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1023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 t="s">
        <v>742</v>
      </c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1025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 t="s">
        <v>742</v>
      </c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1027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 t="s">
        <v>742</v>
      </c>
      <c r="Q22" s="152"/>
      <c r="R22" s="152"/>
      <c r="S22" s="152"/>
      <c r="T22" s="153"/>
    </row>
    <row r="23" ht="13.5" customHeight="1">
      <c r="A23" s="148"/>
      <c r="B23" s="149" t="s">
        <v>768</v>
      </c>
      <c r="C23" s="150"/>
      <c r="D23" s="151"/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1029</v>
      </c>
      <c r="E24" s="145"/>
      <c r="F24" s="152" t="s">
        <v>742</v>
      </c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1031</v>
      </c>
      <c r="E25" s="145"/>
      <c r="F25" s="152"/>
      <c r="G25" s="152" t="s">
        <v>742</v>
      </c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1032</v>
      </c>
      <c r="E26" s="145"/>
      <c r="F26" s="152"/>
      <c r="G26" s="152"/>
      <c r="H26" s="152" t="s">
        <v>742</v>
      </c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1034</v>
      </c>
      <c r="E27" s="145"/>
      <c r="F27" s="152"/>
      <c r="G27" s="152"/>
      <c r="H27" s="152"/>
      <c r="I27" s="152" t="s">
        <v>742</v>
      </c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1035</v>
      </c>
      <c r="E28" s="145"/>
      <c r="F28" s="152"/>
      <c r="G28" s="152"/>
      <c r="H28" s="152"/>
      <c r="I28" s="152"/>
      <c r="J28" s="152" t="s">
        <v>742</v>
      </c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1036</v>
      </c>
      <c r="E29" s="145"/>
      <c r="F29" s="152"/>
      <c r="G29" s="152"/>
      <c r="H29" s="152"/>
      <c r="I29" s="152"/>
      <c r="J29" s="152"/>
      <c r="K29" s="152" t="s">
        <v>742</v>
      </c>
      <c r="L29" s="152" t="s">
        <v>742</v>
      </c>
      <c r="M29" s="152"/>
      <c r="N29" s="152" t="s">
        <v>742</v>
      </c>
      <c r="O29" s="152"/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1037</v>
      </c>
      <c r="E30" s="145"/>
      <c r="F30" s="152"/>
      <c r="G30" s="152"/>
      <c r="H30" s="152"/>
      <c r="I30" s="152"/>
      <c r="J30" s="152"/>
      <c r="K30" s="152"/>
      <c r="L30" s="152"/>
      <c r="M30" s="152" t="s">
        <v>742</v>
      </c>
      <c r="N30" s="152"/>
      <c r="O30" s="152"/>
      <c r="P30" s="152"/>
      <c r="Q30" s="152"/>
      <c r="R30" s="152"/>
      <c r="S30" s="152"/>
      <c r="T30" s="153"/>
    </row>
    <row r="31" ht="13.5" customHeight="1">
      <c r="A31" s="148"/>
      <c r="B31" s="149"/>
      <c r="C31" s="150"/>
      <c r="D31" s="151" t="s">
        <v>1038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 t="s">
        <v>742</v>
      </c>
      <c r="P31" s="152" t="s">
        <v>742</v>
      </c>
      <c r="Q31" s="152"/>
      <c r="R31" s="152"/>
      <c r="S31" s="152"/>
      <c r="T31" s="153"/>
    </row>
    <row r="32" ht="13.5" customHeight="1">
      <c r="A32" s="148"/>
      <c r="B32" s="154"/>
      <c r="C32" s="155"/>
      <c r="D32" s="156"/>
      <c r="E32" s="157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9"/>
    </row>
    <row r="33" ht="13.5" customHeight="1">
      <c r="A33" s="160" t="s">
        <v>802</v>
      </c>
      <c r="B33" s="161" t="s">
        <v>804</v>
      </c>
      <c r="C33" s="162"/>
      <c r="D33" s="163"/>
      <c r="E33" s="164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7"/>
    </row>
    <row r="34" ht="13.5" customHeight="1">
      <c r="A34" s="165"/>
      <c r="B34" s="166"/>
      <c r="C34" s="167"/>
      <c r="D34" s="168" t="s">
        <v>1041</v>
      </c>
      <c r="E34" s="169"/>
      <c r="F34" s="152" t="s">
        <v>742</v>
      </c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1042</v>
      </c>
      <c r="E35" s="169"/>
      <c r="F35" s="152"/>
      <c r="G35" s="152" t="s">
        <v>742</v>
      </c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1044</v>
      </c>
      <c r="E36" s="169"/>
      <c r="F36" s="152"/>
      <c r="G36" s="152"/>
      <c r="H36" s="152" t="s">
        <v>742</v>
      </c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1046</v>
      </c>
      <c r="E37" s="169"/>
      <c r="F37" s="152"/>
      <c r="G37" s="152"/>
      <c r="H37" s="152"/>
      <c r="I37" s="152" t="s">
        <v>742</v>
      </c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1048</v>
      </c>
      <c r="E38" s="169"/>
      <c r="F38" s="152"/>
      <c r="G38" s="152"/>
      <c r="H38" s="152"/>
      <c r="I38" s="152"/>
      <c r="J38" s="152" t="s">
        <v>742</v>
      </c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1049</v>
      </c>
      <c r="E39" s="169"/>
      <c r="F39" s="152"/>
      <c r="G39" s="152"/>
      <c r="H39" s="152"/>
      <c r="I39" s="152"/>
      <c r="J39" s="152"/>
      <c r="K39" s="152" t="s">
        <v>742</v>
      </c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1051</v>
      </c>
      <c r="E40" s="169"/>
      <c r="F40" s="152"/>
      <c r="G40" s="152"/>
      <c r="H40" s="152"/>
      <c r="I40" s="152"/>
      <c r="J40" s="152"/>
      <c r="K40" s="152"/>
      <c r="L40" s="152" t="s">
        <v>742</v>
      </c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1052</v>
      </c>
      <c r="E41" s="169"/>
      <c r="F41" s="152"/>
      <c r="G41" s="152"/>
      <c r="H41" s="152"/>
      <c r="I41" s="152"/>
      <c r="J41" s="152"/>
      <c r="K41" s="152"/>
      <c r="L41" s="152"/>
      <c r="M41" s="152" t="s">
        <v>742</v>
      </c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1054</v>
      </c>
      <c r="E42" s="169"/>
      <c r="F42" s="152"/>
      <c r="G42" s="152"/>
      <c r="H42" s="152"/>
      <c r="I42" s="152"/>
      <c r="J42" s="152"/>
      <c r="K42" s="152"/>
      <c r="L42" s="152"/>
      <c r="M42" s="152"/>
      <c r="N42" s="152" t="s">
        <v>742</v>
      </c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1056</v>
      </c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 t="s">
        <v>742</v>
      </c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1058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 t="s">
        <v>742</v>
      </c>
      <c r="Q44" s="152"/>
      <c r="R44" s="152"/>
      <c r="S44" s="152"/>
      <c r="T44" s="153"/>
    </row>
    <row r="45" ht="13.5" customHeight="1">
      <c r="A45" s="165"/>
      <c r="B45" s="166" t="s">
        <v>825</v>
      </c>
      <c r="C45" s="167"/>
      <c r="D45" s="168"/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3"/>
    </row>
    <row r="46" ht="13.5" customHeight="1">
      <c r="A46" s="165"/>
      <c r="B46" s="166" t="s">
        <v>854</v>
      </c>
      <c r="C46" s="167"/>
      <c r="D46" s="168"/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3"/>
    </row>
    <row r="47" ht="13.5" customHeight="1">
      <c r="A47" s="165"/>
      <c r="B47" s="170"/>
      <c r="C47" s="171"/>
      <c r="D47" s="172"/>
      <c r="E47" s="173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5"/>
    </row>
    <row r="48" ht="13.5" customHeight="1">
      <c r="A48" s="160" t="s">
        <v>865</v>
      </c>
      <c r="B48" s="176" t="s">
        <v>866</v>
      </c>
      <c r="C48" s="177"/>
      <c r="D48" s="178"/>
      <c r="E48" s="179"/>
      <c r="F48" s="180" t="s">
        <v>54</v>
      </c>
      <c r="G48" s="180" t="s">
        <v>54</v>
      </c>
      <c r="H48" s="180" t="s">
        <v>54</v>
      </c>
      <c r="I48" s="180" t="s">
        <v>57</v>
      </c>
      <c r="J48" s="180" t="s">
        <v>54</v>
      </c>
      <c r="K48" s="180" t="s">
        <v>54</v>
      </c>
      <c r="L48" s="180" t="s">
        <v>54</v>
      </c>
      <c r="M48" s="180" t="s">
        <v>57</v>
      </c>
      <c r="N48" s="180" t="s">
        <v>54</v>
      </c>
      <c r="O48" s="180" t="s">
        <v>54</v>
      </c>
      <c r="P48" s="180" t="s">
        <v>54</v>
      </c>
      <c r="Q48" s="180"/>
      <c r="R48" s="180"/>
      <c r="S48" s="180"/>
      <c r="T48" s="181"/>
    </row>
    <row r="49" ht="13.5" customHeight="1">
      <c r="A49" s="165"/>
      <c r="B49" s="182" t="s">
        <v>867</v>
      </c>
      <c r="C49" s="27"/>
      <c r="D49" s="25"/>
      <c r="E49" s="183"/>
      <c r="F49" s="184" t="s">
        <v>868</v>
      </c>
      <c r="G49" s="184" t="s">
        <v>868</v>
      </c>
      <c r="H49" s="184" t="s">
        <v>868</v>
      </c>
      <c r="I49" s="184" t="s">
        <v>868</v>
      </c>
      <c r="J49" s="184" t="s">
        <v>868</v>
      </c>
      <c r="K49" s="184" t="s">
        <v>868</v>
      </c>
      <c r="L49" s="184" t="s">
        <v>868</v>
      </c>
      <c r="M49" s="184" t="s">
        <v>868</v>
      </c>
      <c r="N49" s="184" t="s">
        <v>868</v>
      </c>
      <c r="O49" s="184" t="s">
        <v>868</v>
      </c>
      <c r="P49" s="184" t="s">
        <v>868</v>
      </c>
      <c r="Q49" s="184"/>
      <c r="R49" s="184"/>
      <c r="S49" s="184"/>
      <c r="T49" s="185"/>
    </row>
    <row r="50" ht="99.75" customHeight="1">
      <c r="A50" s="165"/>
      <c r="B50" s="186" t="s">
        <v>869</v>
      </c>
      <c r="C50" s="27"/>
      <c r="D50" s="25"/>
      <c r="E50" s="169"/>
      <c r="F50" s="187">
        <v>46263.0</v>
      </c>
      <c r="G50" s="187">
        <v>46263.0</v>
      </c>
      <c r="H50" s="187">
        <v>46263.0</v>
      </c>
      <c r="I50" s="187">
        <v>46263.0</v>
      </c>
      <c r="J50" s="187">
        <v>46263.0</v>
      </c>
      <c r="K50" s="187">
        <v>46263.0</v>
      </c>
      <c r="L50" s="187">
        <v>46263.0</v>
      </c>
      <c r="M50" s="187">
        <v>46263.0</v>
      </c>
      <c r="N50" s="187">
        <v>46263.0</v>
      </c>
      <c r="O50" s="187">
        <v>46263.0</v>
      </c>
      <c r="P50" s="187">
        <v>46263.0</v>
      </c>
      <c r="Q50" s="197"/>
      <c r="R50" s="197"/>
      <c r="S50" s="197"/>
      <c r="T50" s="188"/>
    </row>
    <row r="51" ht="72.75" customHeight="1">
      <c r="A51" s="190"/>
      <c r="B51" s="191" t="s">
        <v>870</v>
      </c>
      <c r="C51" s="192"/>
      <c r="D51" s="193"/>
      <c r="E51" s="194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6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8:D48"/>
    <mergeCell ref="B49:D49"/>
    <mergeCell ref="B50:D50"/>
    <mergeCell ref="B51:D51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177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155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216.0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1063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COUNTIF(F56:T56,"P")</f>
        <v>13</v>
      </c>
      <c r="B7" s="130"/>
      <c r="C7" s="131">
        <f>COUNTIF(F56:T56,"F")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COUNTIF(F55:T55,"N")</f>
        <v>8</v>
      </c>
      <c r="M7" s="132">
        <f>COUNTIF(F55:T55,"A")</f>
        <v>1</v>
      </c>
      <c r="N7" s="132">
        <f>COUNTIF(F55:T55,"B")</f>
        <v>4</v>
      </c>
      <c r="O7" s="133">
        <f>COUNTA(F9:T9)</f>
        <v>13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1070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1072</v>
      </c>
      <c r="E12" s="145"/>
      <c r="F12" s="152" t="s">
        <v>742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1073</v>
      </c>
      <c r="E13" s="145"/>
      <c r="F13" s="152"/>
      <c r="G13" s="152" t="s">
        <v>742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1074</v>
      </c>
      <c r="E14" s="145"/>
      <c r="F14" s="152"/>
      <c r="G14" s="152" t="s">
        <v>742</v>
      </c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1075</v>
      </c>
      <c r="E15" s="145"/>
      <c r="F15" s="152"/>
      <c r="G15" s="152"/>
      <c r="H15" s="152" t="s">
        <v>742</v>
      </c>
      <c r="I15" s="152" t="s">
        <v>742</v>
      </c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1076</v>
      </c>
      <c r="E16" s="145"/>
      <c r="F16" s="152"/>
      <c r="G16" s="152"/>
      <c r="H16" s="152" t="s">
        <v>742</v>
      </c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1077</v>
      </c>
      <c r="E17" s="145"/>
      <c r="F17" s="152"/>
      <c r="G17" s="152"/>
      <c r="H17" s="152"/>
      <c r="I17" s="152" t="s">
        <v>742</v>
      </c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1078</v>
      </c>
      <c r="E18" s="145"/>
      <c r="F18" s="152"/>
      <c r="G18" s="152"/>
      <c r="H18" s="152"/>
      <c r="I18" s="152"/>
      <c r="J18" s="152" t="s">
        <v>742</v>
      </c>
      <c r="K18" s="152"/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1079</v>
      </c>
      <c r="E19" s="145"/>
      <c r="F19" s="152"/>
      <c r="G19" s="152"/>
      <c r="H19" s="152"/>
      <c r="I19" s="152"/>
      <c r="J19" s="152"/>
      <c r="K19" s="152" t="s">
        <v>742</v>
      </c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1080</v>
      </c>
      <c r="E20" s="145"/>
      <c r="F20" s="152"/>
      <c r="G20" s="152"/>
      <c r="H20" s="152"/>
      <c r="I20" s="152"/>
      <c r="J20" s="152"/>
      <c r="K20" s="152" t="s">
        <v>742</v>
      </c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1081</v>
      </c>
      <c r="E21" s="145"/>
      <c r="F21" s="152"/>
      <c r="G21" s="152"/>
      <c r="H21" s="152"/>
      <c r="I21" s="152"/>
      <c r="J21" s="152"/>
      <c r="K21" s="152"/>
      <c r="L21" s="152" t="s">
        <v>742</v>
      </c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1082</v>
      </c>
      <c r="E22" s="145"/>
      <c r="F22" s="152"/>
      <c r="G22" s="152"/>
      <c r="H22" s="152"/>
      <c r="I22" s="152"/>
      <c r="J22" s="152"/>
      <c r="K22" s="152"/>
      <c r="L22" s="152" t="s">
        <v>742</v>
      </c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1083</v>
      </c>
      <c r="E23" s="145"/>
      <c r="F23" s="152"/>
      <c r="G23" s="152"/>
      <c r="H23" s="152"/>
      <c r="I23" s="152"/>
      <c r="J23" s="152"/>
      <c r="K23" s="152"/>
      <c r="L23" s="152"/>
      <c r="M23" s="152" t="s">
        <v>742</v>
      </c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1084</v>
      </c>
      <c r="E24" s="145"/>
      <c r="F24" s="152"/>
      <c r="G24" s="152"/>
      <c r="H24" s="152"/>
      <c r="I24" s="152"/>
      <c r="J24" s="152"/>
      <c r="K24" s="152"/>
      <c r="L24" s="152"/>
      <c r="M24" s="152" t="s">
        <v>742</v>
      </c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1085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 t="s">
        <v>742</v>
      </c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1086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 t="s">
        <v>742</v>
      </c>
      <c r="P26" s="152" t="s">
        <v>742</v>
      </c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1087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 t="s">
        <v>742</v>
      </c>
      <c r="R27" s="152"/>
      <c r="S27" s="152"/>
      <c r="T27" s="153"/>
    </row>
    <row r="28" ht="13.5" customHeight="1">
      <c r="A28" s="148"/>
      <c r="B28" s="149"/>
      <c r="C28" s="150"/>
      <c r="D28" s="151" t="s">
        <v>1088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 t="s">
        <v>742</v>
      </c>
      <c r="S28" s="152"/>
      <c r="T28" s="153"/>
    </row>
    <row r="29" ht="13.5" customHeight="1">
      <c r="A29" s="148"/>
      <c r="B29" s="149" t="s">
        <v>768</v>
      </c>
      <c r="C29" s="150"/>
      <c r="D29" s="151"/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1089</v>
      </c>
      <c r="E30" s="145"/>
      <c r="F30" s="152" t="s">
        <v>742</v>
      </c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48"/>
      <c r="B31" s="149"/>
      <c r="C31" s="150"/>
      <c r="D31" s="151" t="s">
        <v>1090</v>
      </c>
      <c r="E31" s="145"/>
      <c r="F31" s="152"/>
      <c r="G31" s="152" t="s">
        <v>742</v>
      </c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48"/>
      <c r="B32" s="149"/>
      <c r="C32" s="150"/>
      <c r="D32" s="151" t="s">
        <v>1091</v>
      </c>
      <c r="E32" s="145"/>
      <c r="F32" s="152"/>
      <c r="G32" s="152"/>
      <c r="H32" s="152" t="s">
        <v>742</v>
      </c>
      <c r="I32" s="152" t="s">
        <v>742</v>
      </c>
      <c r="J32" s="152" t="s">
        <v>742</v>
      </c>
      <c r="K32" s="152" t="s">
        <v>742</v>
      </c>
      <c r="L32" s="152" t="s">
        <v>742</v>
      </c>
      <c r="M32" s="152" t="s">
        <v>742</v>
      </c>
      <c r="N32" s="152" t="s">
        <v>742</v>
      </c>
      <c r="O32" s="152"/>
      <c r="P32" s="152"/>
      <c r="Q32" s="152" t="s">
        <v>742</v>
      </c>
      <c r="R32" s="152"/>
      <c r="S32" s="152"/>
      <c r="T32" s="153"/>
    </row>
    <row r="33" ht="13.5" customHeight="1">
      <c r="A33" s="148"/>
      <c r="B33" s="149"/>
      <c r="C33" s="150"/>
      <c r="D33" s="151" t="s">
        <v>1092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 t="s">
        <v>742</v>
      </c>
      <c r="P33" s="152"/>
      <c r="Q33" s="152"/>
      <c r="R33" s="152"/>
      <c r="S33" s="152"/>
      <c r="T33" s="153"/>
    </row>
    <row r="34" ht="13.5" customHeight="1">
      <c r="A34" s="148"/>
      <c r="B34" s="149"/>
      <c r="C34" s="150"/>
      <c r="D34" s="151" t="s">
        <v>1093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 t="s">
        <v>742</v>
      </c>
      <c r="Q34" s="152"/>
      <c r="R34" s="152"/>
      <c r="S34" s="152"/>
      <c r="T34" s="153"/>
    </row>
    <row r="35" ht="13.5" customHeight="1">
      <c r="A35" s="148"/>
      <c r="B35" s="149"/>
      <c r="C35" s="150"/>
      <c r="D35" s="151" t="s">
        <v>1095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 t="s">
        <v>742</v>
      </c>
      <c r="S35" s="152"/>
      <c r="T35" s="153"/>
    </row>
    <row r="36" ht="13.5" customHeight="1">
      <c r="A36" s="148"/>
      <c r="B36" s="154"/>
      <c r="C36" s="155"/>
      <c r="D36" s="156"/>
      <c r="E36" s="157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9"/>
    </row>
    <row r="37" ht="13.5" customHeight="1">
      <c r="A37" s="160" t="s">
        <v>802</v>
      </c>
      <c r="B37" s="161" t="s">
        <v>804</v>
      </c>
      <c r="C37" s="162"/>
      <c r="D37" s="163"/>
      <c r="E37" s="164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7"/>
    </row>
    <row r="38" ht="13.5" customHeight="1">
      <c r="A38" s="165"/>
      <c r="B38" s="166"/>
      <c r="C38" s="167"/>
      <c r="D38" s="168" t="s">
        <v>1099</v>
      </c>
      <c r="E38" s="169"/>
      <c r="F38" s="152" t="s">
        <v>742</v>
      </c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1101</v>
      </c>
      <c r="E39" s="169"/>
      <c r="F39" s="152" t="s">
        <v>742</v>
      </c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1103</v>
      </c>
      <c r="E40" s="169"/>
      <c r="F40" s="152"/>
      <c r="G40" s="152" t="s">
        <v>742</v>
      </c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1105</v>
      </c>
      <c r="E41" s="169"/>
      <c r="F41" s="152"/>
      <c r="G41" s="152"/>
      <c r="H41" s="152" t="s">
        <v>742</v>
      </c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1106</v>
      </c>
      <c r="E42" s="169"/>
      <c r="F42" s="152"/>
      <c r="G42" s="152"/>
      <c r="H42" s="152"/>
      <c r="I42" s="152" t="s">
        <v>742</v>
      </c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1108</v>
      </c>
      <c r="E43" s="169"/>
      <c r="F43" s="152"/>
      <c r="G43" s="152"/>
      <c r="H43" s="152"/>
      <c r="I43" s="152"/>
      <c r="J43" s="152" t="s">
        <v>742</v>
      </c>
      <c r="K43" s="152"/>
      <c r="L43" s="152"/>
      <c r="M43" s="152"/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1110</v>
      </c>
      <c r="E44" s="169"/>
      <c r="F44" s="152"/>
      <c r="G44" s="152"/>
      <c r="H44" s="152"/>
      <c r="I44" s="152"/>
      <c r="J44" s="152"/>
      <c r="K44" s="152" t="s">
        <v>742</v>
      </c>
      <c r="L44" s="152"/>
      <c r="M44" s="152"/>
      <c r="N44" s="152"/>
      <c r="O44" s="152"/>
      <c r="P44" s="152"/>
      <c r="Q44" s="152"/>
      <c r="R44" s="152"/>
      <c r="S44" s="152"/>
      <c r="T44" s="153"/>
    </row>
    <row r="45" ht="13.5" customHeight="1">
      <c r="A45" s="165"/>
      <c r="B45" s="166"/>
      <c r="C45" s="167"/>
      <c r="D45" s="168" t="s">
        <v>1112</v>
      </c>
      <c r="E45" s="169"/>
      <c r="F45" s="152"/>
      <c r="G45" s="152"/>
      <c r="H45" s="152"/>
      <c r="I45" s="152"/>
      <c r="J45" s="152"/>
      <c r="K45" s="152"/>
      <c r="L45" s="152" t="s">
        <v>742</v>
      </c>
      <c r="M45" s="152"/>
      <c r="N45" s="152"/>
      <c r="O45" s="152"/>
      <c r="P45" s="152"/>
      <c r="Q45" s="152"/>
      <c r="R45" s="152"/>
      <c r="S45" s="152"/>
      <c r="T45" s="153"/>
    </row>
    <row r="46" ht="13.5" customHeight="1">
      <c r="A46" s="165"/>
      <c r="B46" s="166"/>
      <c r="C46" s="167"/>
      <c r="D46" s="168" t="s">
        <v>1114</v>
      </c>
      <c r="E46" s="169"/>
      <c r="F46" s="152"/>
      <c r="G46" s="152"/>
      <c r="H46" s="152"/>
      <c r="I46" s="152"/>
      <c r="J46" s="152"/>
      <c r="K46" s="152"/>
      <c r="L46" s="152"/>
      <c r="M46" s="152" t="s">
        <v>742</v>
      </c>
      <c r="N46" s="152"/>
      <c r="O46" s="152"/>
      <c r="P46" s="152"/>
      <c r="Q46" s="152"/>
      <c r="R46" s="152"/>
      <c r="S46" s="152"/>
      <c r="T46" s="153"/>
    </row>
    <row r="47" ht="13.5" customHeight="1">
      <c r="A47" s="165"/>
      <c r="B47" s="166"/>
      <c r="C47" s="167"/>
      <c r="D47" s="168" t="s">
        <v>1116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 t="s">
        <v>742</v>
      </c>
      <c r="O47" s="152"/>
      <c r="P47" s="152"/>
      <c r="Q47" s="152"/>
      <c r="R47" s="152"/>
      <c r="S47" s="152"/>
      <c r="T47" s="153"/>
    </row>
    <row r="48" ht="13.5" customHeight="1">
      <c r="A48" s="165"/>
      <c r="B48" s="166"/>
      <c r="C48" s="167"/>
      <c r="D48" s="168" t="s">
        <v>1118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 t="s">
        <v>742</v>
      </c>
      <c r="P48" s="152"/>
      <c r="Q48" s="152"/>
      <c r="R48" s="152"/>
      <c r="S48" s="152"/>
      <c r="T48" s="153"/>
    </row>
    <row r="49" ht="13.5" customHeight="1">
      <c r="A49" s="165"/>
      <c r="B49" s="166"/>
      <c r="C49" s="167"/>
      <c r="D49" s="168" t="s">
        <v>1120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 t="s">
        <v>742</v>
      </c>
      <c r="Q49" s="152"/>
      <c r="R49" s="152"/>
      <c r="S49" s="152"/>
      <c r="T49" s="153"/>
    </row>
    <row r="50" ht="13.5" customHeight="1">
      <c r="A50" s="165"/>
      <c r="B50" s="166"/>
      <c r="C50" s="167"/>
      <c r="D50" s="168" t="s">
        <v>1121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 t="s">
        <v>742</v>
      </c>
      <c r="R50" s="152"/>
      <c r="S50" s="152"/>
      <c r="T50" s="153"/>
    </row>
    <row r="51" ht="13.5" customHeight="1">
      <c r="A51" s="165"/>
      <c r="B51" s="166"/>
      <c r="C51" s="167"/>
      <c r="D51" s="168" t="s">
        <v>1123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 t="s">
        <v>742</v>
      </c>
      <c r="S51" s="152"/>
      <c r="T51" s="153"/>
    </row>
    <row r="52" ht="13.5" customHeight="1">
      <c r="A52" s="165"/>
      <c r="B52" s="166" t="s">
        <v>825</v>
      </c>
      <c r="C52" s="167"/>
      <c r="D52" s="168"/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3"/>
    </row>
    <row r="53" ht="13.5" customHeight="1">
      <c r="A53" s="165"/>
      <c r="B53" s="166" t="s">
        <v>854</v>
      </c>
      <c r="C53" s="167"/>
      <c r="D53" s="168"/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3"/>
    </row>
    <row r="54" ht="13.5" customHeight="1">
      <c r="A54" s="165"/>
      <c r="B54" s="170"/>
      <c r="C54" s="171"/>
      <c r="D54" s="172"/>
      <c r="E54" s="173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5"/>
    </row>
    <row r="55" ht="13.5" customHeight="1">
      <c r="A55" s="160" t="s">
        <v>865</v>
      </c>
      <c r="B55" s="176" t="s">
        <v>866</v>
      </c>
      <c r="C55" s="177"/>
      <c r="D55" s="178"/>
      <c r="E55" s="179"/>
      <c r="F55" s="180" t="s">
        <v>54</v>
      </c>
      <c r="G55" s="180" t="s">
        <v>54</v>
      </c>
      <c r="H55" s="180" t="s">
        <v>54</v>
      </c>
      <c r="I55" s="180" t="s">
        <v>57</v>
      </c>
      <c r="J55" s="180" t="s">
        <v>57</v>
      </c>
      <c r="K55" s="180" t="s">
        <v>54</v>
      </c>
      <c r="L55" s="180" t="s">
        <v>54</v>
      </c>
      <c r="M55" s="180" t="s">
        <v>54</v>
      </c>
      <c r="N55" s="180" t="s">
        <v>54</v>
      </c>
      <c r="O55" s="180" t="s">
        <v>57</v>
      </c>
      <c r="P55" s="180" t="s">
        <v>57</v>
      </c>
      <c r="Q55" s="180" t="s">
        <v>54</v>
      </c>
      <c r="R55" s="180" t="s">
        <v>55</v>
      </c>
      <c r="S55" s="180"/>
      <c r="T55" s="181"/>
    </row>
    <row r="56" ht="13.5" customHeight="1">
      <c r="A56" s="165"/>
      <c r="B56" s="182" t="s">
        <v>867</v>
      </c>
      <c r="C56" s="27"/>
      <c r="D56" s="25"/>
      <c r="E56" s="183"/>
      <c r="F56" s="184" t="s">
        <v>868</v>
      </c>
      <c r="G56" s="184" t="s">
        <v>868</v>
      </c>
      <c r="H56" s="184" t="s">
        <v>868</v>
      </c>
      <c r="I56" s="184" t="s">
        <v>868</v>
      </c>
      <c r="J56" s="184" t="s">
        <v>868</v>
      </c>
      <c r="K56" s="184" t="s">
        <v>868</v>
      </c>
      <c r="L56" s="184" t="s">
        <v>868</v>
      </c>
      <c r="M56" s="184" t="s">
        <v>868</v>
      </c>
      <c r="N56" s="184" t="s">
        <v>868</v>
      </c>
      <c r="O56" s="184" t="s">
        <v>868</v>
      </c>
      <c r="P56" s="184" t="s">
        <v>868</v>
      </c>
      <c r="Q56" s="184" t="s">
        <v>868</v>
      </c>
      <c r="R56" s="184" t="s">
        <v>868</v>
      </c>
      <c r="S56" s="184"/>
      <c r="T56" s="185"/>
    </row>
    <row r="57" ht="99.75" customHeight="1">
      <c r="A57" s="165"/>
      <c r="B57" s="186" t="s">
        <v>869</v>
      </c>
      <c r="C57" s="27"/>
      <c r="D57" s="25"/>
      <c r="E57" s="169"/>
      <c r="F57" s="187">
        <v>46263.0</v>
      </c>
      <c r="G57" s="187">
        <v>46263.0</v>
      </c>
      <c r="H57" s="187">
        <v>46263.0</v>
      </c>
      <c r="I57" s="187">
        <v>46263.0</v>
      </c>
      <c r="J57" s="187">
        <v>46263.0</v>
      </c>
      <c r="K57" s="187">
        <v>46263.0</v>
      </c>
      <c r="L57" s="187">
        <v>46263.0</v>
      </c>
      <c r="M57" s="187">
        <v>46263.0</v>
      </c>
      <c r="N57" s="187">
        <v>46263.0</v>
      </c>
      <c r="O57" s="187">
        <v>46263.0</v>
      </c>
      <c r="P57" s="187">
        <v>46263.0</v>
      </c>
      <c r="Q57" s="187">
        <v>46263.0</v>
      </c>
      <c r="R57" s="187">
        <v>46263.0</v>
      </c>
      <c r="S57" s="197"/>
      <c r="T57" s="188"/>
    </row>
    <row r="58" ht="72.75" customHeight="1">
      <c r="A58" s="190"/>
      <c r="B58" s="191" t="s">
        <v>870</v>
      </c>
      <c r="C58" s="192"/>
      <c r="D58" s="193"/>
      <c r="E58" s="194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6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55:D55"/>
    <mergeCell ref="B56:D56"/>
    <mergeCell ref="B57:D57"/>
    <mergeCell ref="B58:D58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2" width="3.57"/>
    <col customWidth="1" min="23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 ht="27.0" customHeight="1">
      <c r="A2" s="111" t="s">
        <v>707</v>
      </c>
      <c r="B2" s="112"/>
      <c r="C2" s="113" t="s">
        <v>181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164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  <c r="U3" s="27"/>
      <c r="V3" s="27"/>
    </row>
    <row r="4" ht="13.5" customHeight="1">
      <c r="A4" s="117" t="s">
        <v>711</v>
      </c>
      <c r="B4" s="27"/>
      <c r="C4" s="122">
        <v>154.0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</row>
    <row r="5" ht="13.5" customHeight="1">
      <c r="A5" s="117" t="s">
        <v>713</v>
      </c>
      <c r="B5" s="27"/>
      <c r="C5" s="124" t="s">
        <v>1071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</row>
    <row r="7" ht="13.5" customHeight="1">
      <c r="A7" s="129">
        <f>COUNTIF(F66:V66,"P")</f>
        <v>17</v>
      </c>
      <c r="B7" s="130"/>
      <c r="C7" s="131">
        <f>COUNTIF(F66:V66,"F")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COUNTIF(F65:V65,"N")</f>
        <v>5</v>
      </c>
      <c r="M7" s="132">
        <f>COUNTIF(F65:V65,"A")</f>
        <v>11</v>
      </c>
      <c r="N7" s="132">
        <f>COUNTIF(F65:V65,"B")</f>
        <v>1</v>
      </c>
      <c r="O7" s="133">
        <f>COUNTA(F9:V9)</f>
        <v>17</v>
      </c>
      <c r="P7" s="130"/>
      <c r="Q7" s="130"/>
      <c r="R7" s="130"/>
      <c r="S7" s="130"/>
      <c r="T7" s="130"/>
      <c r="U7" s="130"/>
      <c r="V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40" t="s">
        <v>732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7"/>
    </row>
    <row r="11" ht="13.5" customHeight="1">
      <c r="A11" s="148"/>
      <c r="B11" s="149"/>
      <c r="C11" s="150"/>
      <c r="D11" s="151" t="s">
        <v>1094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3"/>
    </row>
    <row r="12" ht="13.5" customHeight="1">
      <c r="A12" s="148"/>
      <c r="B12" s="149"/>
      <c r="C12" s="150"/>
      <c r="D12" s="151" t="s">
        <v>1096</v>
      </c>
      <c r="E12" s="145"/>
      <c r="F12" s="152" t="s">
        <v>742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3"/>
    </row>
    <row r="13" ht="13.5" customHeight="1">
      <c r="A13" s="148"/>
      <c r="B13" s="149"/>
      <c r="C13" s="150"/>
      <c r="D13" s="151" t="s">
        <v>1097</v>
      </c>
      <c r="E13" s="145"/>
      <c r="F13" s="152"/>
      <c r="G13" s="152" t="s">
        <v>742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3"/>
    </row>
    <row r="14" ht="13.5" customHeight="1">
      <c r="A14" s="148"/>
      <c r="B14" s="149"/>
      <c r="C14" s="150"/>
      <c r="D14" s="151" t="s">
        <v>1098</v>
      </c>
      <c r="E14" s="145"/>
      <c r="F14" s="152"/>
      <c r="G14" s="152"/>
      <c r="H14" s="152" t="s">
        <v>742</v>
      </c>
      <c r="I14" s="152"/>
      <c r="J14" s="152"/>
      <c r="K14" s="152"/>
      <c r="L14" s="152"/>
      <c r="M14" s="152"/>
      <c r="N14" s="152"/>
      <c r="O14" s="152" t="s">
        <v>742</v>
      </c>
      <c r="P14" s="152"/>
      <c r="Q14" s="152"/>
      <c r="R14" s="152"/>
      <c r="S14" s="152"/>
      <c r="T14" s="152"/>
      <c r="U14" s="152"/>
      <c r="V14" s="153"/>
    </row>
    <row r="15" ht="13.5" customHeight="1">
      <c r="A15" s="148"/>
      <c r="B15" s="149"/>
      <c r="C15" s="150"/>
      <c r="D15" s="151" t="s">
        <v>1100</v>
      </c>
      <c r="E15" s="145"/>
      <c r="F15" s="152"/>
      <c r="G15" s="152"/>
      <c r="H15" s="152"/>
      <c r="I15" s="152" t="s">
        <v>742</v>
      </c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3"/>
    </row>
    <row r="16" ht="13.5" customHeight="1">
      <c r="A16" s="148"/>
      <c r="B16" s="149"/>
      <c r="C16" s="150"/>
      <c r="D16" s="151" t="s">
        <v>1102</v>
      </c>
      <c r="E16" s="145"/>
      <c r="F16" s="152"/>
      <c r="G16" s="152"/>
      <c r="H16" s="152"/>
      <c r="I16" s="152"/>
      <c r="J16" s="152" t="s">
        <v>742</v>
      </c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3"/>
    </row>
    <row r="17" ht="13.5" customHeight="1">
      <c r="A17" s="148"/>
      <c r="B17" s="149"/>
      <c r="C17" s="150"/>
      <c r="D17" s="151" t="s">
        <v>1104</v>
      </c>
      <c r="E17" s="145"/>
      <c r="F17" s="152"/>
      <c r="G17" s="152"/>
      <c r="H17" s="152"/>
      <c r="I17" s="152"/>
      <c r="J17" s="152"/>
      <c r="K17" s="152" t="s">
        <v>742</v>
      </c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3"/>
    </row>
    <row r="18" ht="13.5" customHeight="1">
      <c r="A18" s="148"/>
      <c r="B18" s="149"/>
      <c r="C18" s="150"/>
      <c r="D18" s="151" t="s">
        <v>1107</v>
      </c>
      <c r="E18" s="145"/>
      <c r="F18" s="152"/>
      <c r="G18" s="152"/>
      <c r="H18" s="152"/>
      <c r="I18" s="152"/>
      <c r="J18" s="152"/>
      <c r="K18" s="152"/>
      <c r="L18" s="152" t="s">
        <v>742</v>
      </c>
      <c r="M18" s="152"/>
      <c r="N18" s="152"/>
      <c r="O18" s="152"/>
      <c r="P18" s="152"/>
      <c r="Q18" s="152"/>
      <c r="R18" s="152"/>
      <c r="S18" s="152"/>
      <c r="T18" s="152"/>
      <c r="U18" s="152"/>
      <c r="V18" s="153"/>
    </row>
    <row r="19" ht="13.5" customHeight="1">
      <c r="A19" s="148"/>
      <c r="B19" s="149"/>
      <c r="C19" s="150"/>
      <c r="D19" s="151" t="s">
        <v>1109</v>
      </c>
      <c r="E19" s="145"/>
      <c r="F19" s="152"/>
      <c r="G19" s="152"/>
      <c r="H19" s="152"/>
      <c r="I19" s="152"/>
      <c r="J19" s="152"/>
      <c r="K19" s="152"/>
      <c r="L19" s="152"/>
      <c r="M19" s="152" t="s">
        <v>742</v>
      </c>
      <c r="N19" s="152"/>
      <c r="O19" s="152"/>
      <c r="P19" s="152"/>
      <c r="Q19" s="152"/>
      <c r="R19" s="152"/>
      <c r="S19" s="152"/>
      <c r="T19" s="152"/>
      <c r="U19" s="152"/>
      <c r="V19" s="153"/>
    </row>
    <row r="20" ht="13.5" customHeight="1">
      <c r="A20" s="148"/>
      <c r="B20" s="149"/>
      <c r="C20" s="150"/>
      <c r="D20" s="151" t="s">
        <v>1111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 t="s">
        <v>742</v>
      </c>
      <c r="O20" s="152"/>
      <c r="P20" s="152"/>
      <c r="Q20" s="152"/>
      <c r="R20" s="152"/>
      <c r="S20" s="152"/>
      <c r="T20" s="152"/>
      <c r="U20" s="152"/>
      <c r="V20" s="153"/>
    </row>
    <row r="21" ht="13.5" customHeight="1">
      <c r="A21" s="148"/>
      <c r="B21" s="149"/>
      <c r="C21" s="150"/>
      <c r="D21" s="151" t="s">
        <v>1113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 t="s">
        <v>742</v>
      </c>
      <c r="Q21" s="152"/>
      <c r="R21" s="152"/>
      <c r="S21" s="152"/>
      <c r="T21" s="152"/>
      <c r="U21" s="152"/>
      <c r="V21" s="153"/>
    </row>
    <row r="22" ht="13.5" customHeight="1">
      <c r="A22" s="148"/>
      <c r="B22" s="149"/>
      <c r="C22" s="150"/>
      <c r="D22" s="151" t="s">
        <v>1115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 t="s">
        <v>742</v>
      </c>
      <c r="R22" s="152"/>
      <c r="S22" s="152"/>
      <c r="T22" s="152"/>
      <c r="U22" s="152"/>
      <c r="V22" s="153"/>
    </row>
    <row r="23" ht="13.5" customHeight="1">
      <c r="A23" s="148"/>
      <c r="B23" s="149"/>
      <c r="C23" s="150"/>
      <c r="D23" s="151" t="s">
        <v>1117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 t="s">
        <v>742</v>
      </c>
      <c r="R23" s="152"/>
      <c r="S23" s="152"/>
      <c r="T23" s="152"/>
      <c r="U23" s="152"/>
      <c r="V23" s="153"/>
    </row>
    <row r="24" ht="13.5" customHeight="1">
      <c r="A24" s="148"/>
      <c r="B24" s="149"/>
      <c r="C24" s="150"/>
      <c r="D24" s="151" t="s">
        <v>1119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 t="s">
        <v>742</v>
      </c>
      <c r="R24" s="152"/>
      <c r="S24" s="152"/>
      <c r="T24" s="152"/>
      <c r="U24" s="152"/>
      <c r="V24" s="153"/>
    </row>
    <row r="25" ht="13.5" customHeight="1">
      <c r="A25" s="148"/>
      <c r="B25" s="149"/>
      <c r="C25" s="150"/>
      <c r="D25" s="151" t="s">
        <v>1122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 t="s">
        <v>742</v>
      </c>
      <c r="S25" s="152"/>
      <c r="T25" s="152"/>
      <c r="U25" s="152"/>
      <c r="V25" s="153"/>
    </row>
    <row r="26" ht="13.5" customHeight="1">
      <c r="A26" s="148"/>
      <c r="B26" s="149"/>
      <c r="C26" s="150"/>
      <c r="D26" s="151" t="s">
        <v>1124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 t="s">
        <v>742</v>
      </c>
      <c r="T26" s="152"/>
      <c r="U26" s="152"/>
      <c r="V26" s="153"/>
    </row>
    <row r="27" ht="13.5" customHeight="1">
      <c r="A27" s="148"/>
      <c r="B27" s="149"/>
      <c r="C27" s="150"/>
      <c r="D27" s="151" t="s">
        <v>1125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 t="s">
        <v>742</v>
      </c>
      <c r="U27" s="152"/>
      <c r="V27" s="153"/>
    </row>
    <row r="28" ht="13.5" customHeight="1">
      <c r="A28" s="148"/>
      <c r="B28" s="149"/>
      <c r="C28" s="150"/>
      <c r="D28" s="151" t="s">
        <v>1126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 t="s">
        <v>742</v>
      </c>
      <c r="U28" s="152"/>
      <c r="V28" s="153"/>
    </row>
    <row r="29" ht="13.5" customHeight="1">
      <c r="A29" s="148"/>
      <c r="B29" s="149"/>
      <c r="C29" s="150"/>
      <c r="D29" s="151" t="s">
        <v>1127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 t="s">
        <v>742</v>
      </c>
      <c r="V29" s="153"/>
    </row>
    <row r="30" ht="13.5" customHeight="1">
      <c r="A30" s="148"/>
      <c r="B30" s="149"/>
      <c r="C30" s="150"/>
      <c r="D30" s="151" t="s">
        <v>1128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3" t="s">
        <v>742</v>
      </c>
    </row>
    <row r="31" ht="13.5" customHeight="1">
      <c r="A31" s="148"/>
      <c r="B31" s="149" t="s">
        <v>768</v>
      </c>
      <c r="C31" s="150"/>
      <c r="D31" s="151"/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3"/>
    </row>
    <row r="32" ht="13.5" customHeight="1">
      <c r="A32" s="148"/>
      <c r="B32" s="149"/>
      <c r="C32" s="150"/>
      <c r="D32" s="151" t="s">
        <v>1129</v>
      </c>
      <c r="E32" s="145"/>
      <c r="F32" s="152" t="s">
        <v>742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3"/>
    </row>
    <row r="33" ht="13.5" customHeight="1">
      <c r="A33" s="148"/>
      <c r="B33" s="149"/>
      <c r="C33" s="150"/>
      <c r="D33" s="151" t="s">
        <v>1130</v>
      </c>
      <c r="E33" s="145"/>
      <c r="F33" s="152"/>
      <c r="G33" s="152" t="s">
        <v>742</v>
      </c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3"/>
    </row>
    <row r="34" ht="13.5" customHeight="1">
      <c r="A34" s="148"/>
      <c r="B34" s="149"/>
      <c r="C34" s="150"/>
      <c r="D34" s="151" t="s">
        <v>1131</v>
      </c>
      <c r="E34" s="145"/>
      <c r="F34" s="152"/>
      <c r="G34" s="152"/>
      <c r="H34" s="152" t="s">
        <v>742</v>
      </c>
      <c r="I34" s="152"/>
      <c r="J34" s="152"/>
      <c r="K34" s="152"/>
      <c r="L34" s="152"/>
      <c r="M34" s="152"/>
      <c r="N34" s="152"/>
      <c r="O34" s="152" t="s">
        <v>742</v>
      </c>
      <c r="P34" s="152"/>
      <c r="Q34" s="152"/>
      <c r="R34" s="152"/>
      <c r="S34" s="152"/>
      <c r="T34" s="152"/>
      <c r="U34" s="152"/>
      <c r="V34" s="153"/>
    </row>
    <row r="35" ht="13.5" customHeight="1">
      <c r="A35" s="148"/>
      <c r="B35" s="149"/>
      <c r="C35" s="150"/>
      <c r="D35" s="151" t="s">
        <v>1132</v>
      </c>
      <c r="E35" s="145"/>
      <c r="F35" s="152"/>
      <c r="G35" s="152"/>
      <c r="H35" s="152"/>
      <c r="I35" s="152" t="s">
        <v>742</v>
      </c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3"/>
    </row>
    <row r="36" ht="13.5" customHeight="1">
      <c r="A36" s="148"/>
      <c r="B36" s="149"/>
      <c r="C36" s="150"/>
      <c r="D36" s="151" t="s">
        <v>1133</v>
      </c>
      <c r="E36" s="145"/>
      <c r="F36" s="152"/>
      <c r="G36" s="152"/>
      <c r="H36" s="152"/>
      <c r="I36" s="152"/>
      <c r="J36" s="152" t="s">
        <v>742</v>
      </c>
      <c r="K36" s="152" t="s">
        <v>742</v>
      </c>
      <c r="L36" s="152" t="s">
        <v>742</v>
      </c>
      <c r="M36" s="152" t="s">
        <v>742</v>
      </c>
      <c r="N36" s="152" t="s">
        <v>742</v>
      </c>
      <c r="O36" s="152"/>
      <c r="P36" s="152" t="s">
        <v>742</v>
      </c>
      <c r="Q36" s="152"/>
      <c r="R36" s="152"/>
      <c r="S36" s="152"/>
      <c r="T36" s="152"/>
      <c r="U36" s="152"/>
      <c r="V36" s="153"/>
    </row>
    <row r="37" ht="13.5" customHeight="1">
      <c r="A37" s="148"/>
      <c r="B37" s="149"/>
      <c r="C37" s="150"/>
      <c r="D37" s="151" t="s">
        <v>1134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 t="s">
        <v>742</v>
      </c>
      <c r="R37" s="152"/>
      <c r="S37" s="152"/>
      <c r="T37" s="152"/>
      <c r="U37" s="152"/>
      <c r="V37" s="153"/>
    </row>
    <row r="38" ht="13.5" customHeight="1">
      <c r="A38" s="148"/>
      <c r="B38" s="149"/>
      <c r="C38" s="150"/>
      <c r="D38" s="151" t="s">
        <v>1135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 t="s">
        <v>742</v>
      </c>
      <c r="S38" s="152"/>
      <c r="T38" s="152"/>
      <c r="U38" s="152"/>
      <c r="V38" s="153"/>
    </row>
    <row r="39" ht="13.5" customHeight="1">
      <c r="A39" s="148"/>
      <c r="B39" s="149"/>
      <c r="C39" s="150"/>
      <c r="D39" s="151" t="s">
        <v>1136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 t="s">
        <v>742</v>
      </c>
      <c r="T39" s="152"/>
      <c r="U39" s="152"/>
      <c r="V39" s="153"/>
    </row>
    <row r="40" ht="13.5" customHeight="1">
      <c r="A40" s="148"/>
      <c r="B40" s="149"/>
      <c r="C40" s="150"/>
      <c r="D40" s="151" t="s">
        <v>1137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 t="s">
        <v>742</v>
      </c>
      <c r="U40" s="152"/>
      <c r="V40" s="153" t="s">
        <v>742</v>
      </c>
    </row>
    <row r="41" ht="13.5" customHeight="1">
      <c r="A41" s="148"/>
      <c r="B41" s="149"/>
      <c r="C41" s="150"/>
      <c r="D41" s="151" t="s">
        <v>1138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 t="s">
        <v>742</v>
      </c>
      <c r="V41" s="153"/>
    </row>
    <row r="42" ht="13.5" customHeight="1">
      <c r="A42" s="148"/>
      <c r="B42" s="154"/>
      <c r="C42" s="155"/>
      <c r="D42" s="156"/>
      <c r="E42" s="157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9"/>
    </row>
    <row r="43" ht="13.5" customHeight="1">
      <c r="A43" s="160" t="s">
        <v>802</v>
      </c>
      <c r="B43" s="161" t="s">
        <v>804</v>
      </c>
      <c r="C43" s="162"/>
      <c r="D43" s="163"/>
      <c r="E43" s="164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7"/>
    </row>
    <row r="44" ht="13.5" customHeight="1">
      <c r="A44" s="165"/>
      <c r="B44" s="166"/>
      <c r="C44" s="167"/>
      <c r="D44" s="168" t="s">
        <v>1139</v>
      </c>
      <c r="E44" s="169"/>
      <c r="F44" s="152" t="s">
        <v>742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3"/>
    </row>
    <row r="45" ht="13.5" customHeight="1">
      <c r="A45" s="165"/>
      <c r="B45" s="166"/>
      <c r="C45" s="167"/>
      <c r="D45" s="168" t="s">
        <v>1140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 t="s">
        <v>742</v>
      </c>
      <c r="O45" s="152"/>
      <c r="P45" s="152"/>
      <c r="Q45" s="152"/>
      <c r="R45" s="152"/>
      <c r="S45" s="152"/>
      <c r="T45" s="152"/>
      <c r="U45" s="152"/>
      <c r="V45" s="153"/>
    </row>
    <row r="46" ht="13.5" customHeight="1">
      <c r="A46" s="165"/>
      <c r="B46" s="166"/>
      <c r="C46" s="167"/>
      <c r="D46" s="168" t="s">
        <v>1141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 t="s">
        <v>742</v>
      </c>
      <c r="R46" s="152"/>
      <c r="S46" s="152"/>
      <c r="T46" s="152"/>
      <c r="U46" s="152"/>
      <c r="V46" s="153"/>
    </row>
    <row r="47" ht="13.5" customHeight="1">
      <c r="A47" s="165"/>
      <c r="B47" s="166"/>
      <c r="C47" s="167"/>
      <c r="D47" s="168" t="s">
        <v>1142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 t="s">
        <v>742</v>
      </c>
      <c r="U47" s="152"/>
      <c r="V47" s="153"/>
    </row>
    <row r="48" ht="13.5" customHeight="1">
      <c r="A48" s="165"/>
      <c r="B48" s="166"/>
      <c r="C48" s="167"/>
      <c r="D48" s="168" t="s">
        <v>1143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 t="s">
        <v>742</v>
      </c>
      <c r="V48" s="153"/>
    </row>
    <row r="49" ht="13.5" customHeight="1">
      <c r="A49" s="165"/>
      <c r="B49" s="166"/>
      <c r="C49" s="167"/>
      <c r="D49" s="168" t="s">
        <v>1144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3" t="s">
        <v>742</v>
      </c>
    </row>
    <row r="50" ht="13.5" customHeight="1">
      <c r="A50" s="165"/>
      <c r="B50" s="166" t="s">
        <v>825</v>
      </c>
      <c r="C50" s="167"/>
      <c r="D50" s="168"/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3"/>
    </row>
    <row r="51" ht="13.5" customHeight="1">
      <c r="A51" s="165"/>
      <c r="B51" s="166"/>
      <c r="C51" s="167"/>
      <c r="D51" s="168" t="s">
        <v>1145</v>
      </c>
      <c r="E51" s="169"/>
      <c r="F51" s="152"/>
      <c r="G51" s="152" t="s">
        <v>742</v>
      </c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3"/>
    </row>
    <row r="52" ht="13.5" customHeight="1">
      <c r="A52" s="165"/>
      <c r="B52" s="166"/>
      <c r="C52" s="167"/>
      <c r="D52" s="168" t="s">
        <v>1146</v>
      </c>
      <c r="E52" s="169"/>
      <c r="F52" s="152"/>
      <c r="G52" s="152"/>
      <c r="H52" s="152" t="s">
        <v>742</v>
      </c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3"/>
    </row>
    <row r="53" ht="13.5" customHeight="1">
      <c r="A53" s="165"/>
      <c r="B53" s="166"/>
      <c r="C53" s="167"/>
      <c r="D53" s="168" t="s">
        <v>1147</v>
      </c>
      <c r="E53" s="169"/>
      <c r="F53" s="152"/>
      <c r="G53" s="152"/>
      <c r="H53" s="152"/>
      <c r="I53" s="152" t="s">
        <v>742</v>
      </c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3"/>
    </row>
    <row r="54" ht="13.5" customHeight="1">
      <c r="A54" s="165"/>
      <c r="B54" s="166"/>
      <c r="C54" s="167"/>
      <c r="D54" s="168" t="s">
        <v>1148</v>
      </c>
      <c r="E54" s="169"/>
      <c r="F54" s="152"/>
      <c r="G54" s="152"/>
      <c r="H54" s="152"/>
      <c r="I54" s="152"/>
      <c r="J54" s="152" t="s">
        <v>742</v>
      </c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3"/>
    </row>
    <row r="55" ht="13.5" customHeight="1">
      <c r="A55" s="165"/>
      <c r="B55" s="166"/>
      <c r="C55" s="167"/>
      <c r="D55" s="168" t="s">
        <v>1149</v>
      </c>
      <c r="E55" s="169"/>
      <c r="F55" s="152"/>
      <c r="G55" s="152"/>
      <c r="H55" s="152"/>
      <c r="I55" s="152"/>
      <c r="J55" s="152"/>
      <c r="K55" s="152" t="s">
        <v>742</v>
      </c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3"/>
    </row>
    <row r="56" ht="13.5" customHeight="1">
      <c r="A56" s="165"/>
      <c r="B56" s="166"/>
      <c r="C56" s="167"/>
      <c r="D56" s="168" t="s">
        <v>1150</v>
      </c>
      <c r="E56" s="169"/>
      <c r="F56" s="152"/>
      <c r="G56" s="152"/>
      <c r="H56" s="152"/>
      <c r="I56" s="152"/>
      <c r="J56" s="152"/>
      <c r="K56" s="152"/>
      <c r="L56" s="152" t="s">
        <v>742</v>
      </c>
      <c r="M56" s="152"/>
      <c r="N56" s="152"/>
      <c r="O56" s="152"/>
      <c r="P56" s="152"/>
      <c r="Q56" s="152"/>
      <c r="R56" s="152"/>
      <c r="S56" s="152"/>
      <c r="T56" s="152"/>
      <c r="U56" s="152"/>
      <c r="V56" s="153"/>
    </row>
    <row r="57" ht="13.5" customHeight="1">
      <c r="A57" s="165"/>
      <c r="B57" s="166"/>
      <c r="C57" s="167"/>
      <c r="D57" s="168" t="s">
        <v>1151</v>
      </c>
      <c r="E57" s="169"/>
      <c r="F57" s="152"/>
      <c r="G57" s="152"/>
      <c r="H57" s="152"/>
      <c r="I57" s="152"/>
      <c r="J57" s="152"/>
      <c r="K57" s="152"/>
      <c r="L57" s="152"/>
      <c r="M57" s="152" t="s">
        <v>742</v>
      </c>
      <c r="N57" s="152"/>
      <c r="O57" s="152"/>
      <c r="P57" s="152"/>
      <c r="Q57" s="152"/>
      <c r="R57" s="152"/>
      <c r="S57" s="152"/>
      <c r="T57" s="152"/>
      <c r="U57" s="152"/>
      <c r="V57" s="153"/>
    </row>
    <row r="58" ht="13.5" customHeight="1">
      <c r="A58" s="165"/>
      <c r="B58" s="166"/>
      <c r="C58" s="167"/>
      <c r="D58" s="168" t="s">
        <v>1152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 t="s">
        <v>742</v>
      </c>
      <c r="P58" s="152"/>
      <c r="Q58" s="152"/>
      <c r="R58" s="152"/>
      <c r="S58" s="152"/>
      <c r="T58" s="152"/>
      <c r="U58" s="152"/>
      <c r="V58" s="153"/>
    </row>
    <row r="59" ht="13.5" customHeight="1">
      <c r="A59" s="165"/>
      <c r="B59" s="166"/>
      <c r="C59" s="167"/>
      <c r="D59" s="168" t="s">
        <v>1153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 t="s">
        <v>742</v>
      </c>
      <c r="Q59" s="152"/>
      <c r="R59" s="152"/>
      <c r="S59" s="152"/>
      <c r="T59" s="152"/>
      <c r="U59" s="152"/>
      <c r="V59" s="153"/>
    </row>
    <row r="60" ht="13.5" customHeight="1">
      <c r="A60" s="165"/>
      <c r="B60" s="166"/>
      <c r="C60" s="167"/>
      <c r="D60" s="168" t="s">
        <v>1154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 t="s">
        <v>742</v>
      </c>
      <c r="S60" s="152"/>
      <c r="T60" s="152"/>
      <c r="U60" s="152"/>
      <c r="V60" s="153"/>
    </row>
    <row r="61" ht="13.5" customHeight="1">
      <c r="A61" s="165"/>
      <c r="B61" s="166"/>
      <c r="C61" s="167"/>
      <c r="D61" s="168" t="s">
        <v>1155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 t="s">
        <v>742</v>
      </c>
      <c r="T61" s="152"/>
      <c r="U61" s="152"/>
      <c r="V61" s="153"/>
    </row>
    <row r="62" ht="13.5" customHeight="1">
      <c r="A62" s="165"/>
      <c r="B62" s="166" t="s">
        <v>854</v>
      </c>
      <c r="C62" s="167"/>
      <c r="D62" s="168"/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3"/>
    </row>
    <row r="63" ht="13.5" customHeight="1">
      <c r="A63" s="165"/>
      <c r="B63" s="166"/>
      <c r="C63" s="167"/>
      <c r="D63" s="168" t="s">
        <v>1156</v>
      </c>
      <c r="E63" s="169"/>
      <c r="F63" s="152" t="s">
        <v>742</v>
      </c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3"/>
    </row>
    <row r="64" ht="13.5" customHeight="1">
      <c r="A64" s="165"/>
      <c r="B64" s="170"/>
      <c r="C64" s="171"/>
      <c r="D64" s="172"/>
      <c r="E64" s="173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5"/>
    </row>
    <row r="65" ht="13.5" customHeight="1">
      <c r="A65" s="160" t="s">
        <v>865</v>
      </c>
      <c r="B65" s="176" t="s">
        <v>866</v>
      </c>
      <c r="C65" s="177"/>
      <c r="D65" s="178"/>
      <c r="E65" s="179"/>
      <c r="F65" s="180" t="s">
        <v>54</v>
      </c>
      <c r="G65" s="180" t="s">
        <v>55</v>
      </c>
      <c r="H65" s="180" t="s">
        <v>55</v>
      </c>
      <c r="I65" s="180" t="s">
        <v>55</v>
      </c>
      <c r="J65" s="180" t="s">
        <v>55</v>
      </c>
      <c r="K65" s="180" t="s">
        <v>55</v>
      </c>
      <c r="L65" s="180" t="s">
        <v>55</v>
      </c>
      <c r="M65" s="180" t="s">
        <v>55</v>
      </c>
      <c r="N65" s="180" t="s">
        <v>54</v>
      </c>
      <c r="O65" s="180" t="s">
        <v>55</v>
      </c>
      <c r="P65" s="180" t="s">
        <v>55</v>
      </c>
      <c r="Q65" s="180" t="s">
        <v>54</v>
      </c>
      <c r="R65" s="180" t="s">
        <v>55</v>
      </c>
      <c r="S65" s="180" t="s">
        <v>55</v>
      </c>
      <c r="T65" s="180" t="s">
        <v>54</v>
      </c>
      <c r="U65" s="180" t="s">
        <v>54</v>
      </c>
      <c r="V65" s="181" t="s">
        <v>57</v>
      </c>
    </row>
    <row r="66" ht="13.5" customHeight="1">
      <c r="A66" s="165"/>
      <c r="B66" s="182" t="s">
        <v>867</v>
      </c>
      <c r="C66" s="27"/>
      <c r="D66" s="25"/>
      <c r="E66" s="183"/>
      <c r="F66" s="184" t="s">
        <v>868</v>
      </c>
      <c r="G66" s="184" t="s">
        <v>868</v>
      </c>
      <c r="H66" s="184" t="s">
        <v>868</v>
      </c>
      <c r="I66" s="184" t="s">
        <v>868</v>
      </c>
      <c r="J66" s="184" t="s">
        <v>868</v>
      </c>
      <c r="K66" s="184" t="s">
        <v>868</v>
      </c>
      <c r="L66" s="184" t="s">
        <v>868</v>
      </c>
      <c r="M66" s="184" t="s">
        <v>868</v>
      </c>
      <c r="N66" s="184" t="s">
        <v>868</v>
      </c>
      <c r="O66" s="184" t="s">
        <v>868</v>
      </c>
      <c r="P66" s="184" t="s">
        <v>868</v>
      </c>
      <c r="Q66" s="184" t="s">
        <v>868</v>
      </c>
      <c r="R66" s="184" t="s">
        <v>868</v>
      </c>
      <c r="S66" s="184" t="s">
        <v>868</v>
      </c>
      <c r="T66" s="184" t="s">
        <v>868</v>
      </c>
      <c r="U66" s="184" t="s">
        <v>868</v>
      </c>
      <c r="V66" s="185" t="s">
        <v>868</v>
      </c>
    </row>
    <row r="67" ht="99.75" customHeight="1">
      <c r="A67" s="165"/>
      <c r="B67" s="186" t="s">
        <v>869</v>
      </c>
      <c r="C67" s="27"/>
      <c r="D67" s="25"/>
      <c r="E67" s="169"/>
      <c r="F67" s="187">
        <v>46235.0</v>
      </c>
      <c r="G67" s="187">
        <v>46235.0</v>
      </c>
      <c r="H67" s="187">
        <v>46235.0</v>
      </c>
      <c r="I67" s="187">
        <v>46235.0</v>
      </c>
      <c r="J67" s="187">
        <v>46235.0</v>
      </c>
      <c r="K67" s="187">
        <v>46235.0</v>
      </c>
      <c r="L67" s="187">
        <v>46235.0</v>
      </c>
      <c r="M67" s="187">
        <v>46235.0</v>
      </c>
      <c r="N67" s="187">
        <v>46235.0</v>
      </c>
      <c r="O67" s="187">
        <v>46235.0</v>
      </c>
      <c r="P67" s="187">
        <v>46235.0</v>
      </c>
      <c r="Q67" s="187">
        <v>46235.0</v>
      </c>
      <c r="R67" s="187">
        <v>46235.0</v>
      </c>
      <c r="S67" s="187">
        <v>46235.0</v>
      </c>
      <c r="T67" s="187">
        <v>46235.0</v>
      </c>
      <c r="U67" s="187">
        <v>46235.0</v>
      </c>
      <c r="V67" s="189">
        <v>46235.0</v>
      </c>
    </row>
    <row r="68" ht="72.75" customHeight="1">
      <c r="A68" s="190"/>
      <c r="B68" s="191" t="s">
        <v>870</v>
      </c>
      <c r="C68" s="192"/>
      <c r="D68" s="193"/>
      <c r="E68" s="194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6"/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V4"/>
    <mergeCell ref="C5:V5"/>
    <mergeCell ref="A2:B2"/>
    <mergeCell ref="C2:E2"/>
    <mergeCell ref="F2:K2"/>
    <mergeCell ref="L2:V2"/>
    <mergeCell ref="C3:E3"/>
    <mergeCell ref="F3:K3"/>
    <mergeCell ref="L3:V3"/>
    <mergeCell ref="F6:K6"/>
    <mergeCell ref="L6:N6"/>
    <mergeCell ref="O6:V6"/>
    <mergeCell ref="A7:B7"/>
    <mergeCell ref="C7:E7"/>
    <mergeCell ref="F7:K7"/>
    <mergeCell ref="O7:V7"/>
    <mergeCell ref="B65:D65"/>
    <mergeCell ref="B66:D66"/>
    <mergeCell ref="B67:D67"/>
    <mergeCell ref="B68:D68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7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</row>
    <row r="2" ht="27.0" customHeight="1">
      <c r="A2" s="111" t="s">
        <v>707</v>
      </c>
      <c r="B2" s="112"/>
      <c r="C2" s="113" t="s">
        <v>193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172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3.5" customHeight="1">
      <c r="A4" s="117" t="s">
        <v>711</v>
      </c>
      <c r="B4" s="27"/>
      <c r="C4" s="122">
        <v>77.0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3.5" customHeight="1">
      <c r="A5" s="117" t="s">
        <v>713</v>
      </c>
      <c r="B5" s="27"/>
      <c r="C5" s="124" t="s">
        <v>1157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ht="13.5" customHeight="1">
      <c r="A7" s="129">
        <f>COUNTIF(F80:AA80,"P")</f>
        <v>22</v>
      </c>
      <c r="B7" s="130"/>
      <c r="C7" s="131">
        <f>COUNTIF(F80:AA80,"F")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COUNTIF(F79:AA79,"N")</f>
        <v>9</v>
      </c>
      <c r="M7" s="132">
        <f>COUNTIF(F79:AA79,"A")</f>
        <v>11</v>
      </c>
      <c r="N7" s="132">
        <f>COUNTIF(F79:AA79,"B")</f>
        <v>2</v>
      </c>
      <c r="O7" s="133">
        <f>COUNTA(F9:AA9)</f>
        <v>22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39" t="s">
        <v>736</v>
      </c>
      <c r="AA9" s="140" t="s">
        <v>737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7"/>
    </row>
    <row r="11" ht="13.5" customHeight="1">
      <c r="A11" s="148"/>
      <c r="B11" s="149"/>
      <c r="C11" s="150"/>
      <c r="D11" s="151" t="s">
        <v>1159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3"/>
    </row>
    <row r="12" ht="13.5" customHeight="1">
      <c r="A12" s="148"/>
      <c r="B12" s="149"/>
      <c r="C12" s="150"/>
      <c r="D12" s="151" t="s">
        <v>1160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3"/>
    </row>
    <row r="13" ht="13.5" customHeight="1">
      <c r="A13" s="148"/>
      <c r="B13" s="149"/>
      <c r="C13" s="150"/>
      <c r="D13" s="151" t="s">
        <v>1161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3"/>
    </row>
    <row r="14" ht="13.5" customHeight="1">
      <c r="A14" s="148"/>
      <c r="B14" s="149"/>
      <c r="C14" s="150"/>
      <c r="D14" s="151" t="s">
        <v>1162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3"/>
    </row>
    <row r="15" ht="13.5" customHeight="1">
      <c r="A15" s="148"/>
      <c r="B15" s="149"/>
      <c r="C15" s="150"/>
      <c r="D15" s="151" t="s">
        <v>1164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3"/>
    </row>
    <row r="16" ht="13.5" customHeight="1">
      <c r="A16" s="148"/>
      <c r="B16" s="149"/>
      <c r="C16" s="150"/>
      <c r="D16" s="151" t="s">
        <v>1166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3"/>
    </row>
    <row r="17" ht="13.5" customHeight="1">
      <c r="A17" s="148"/>
      <c r="B17" s="149"/>
      <c r="C17" s="150"/>
      <c r="D17" s="151" t="s">
        <v>1169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3"/>
    </row>
    <row r="18" ht="13.5" customHeight="1">
      <c r="A18" s="148"/>
      <c r="B18" s="149"/>
      <c r="C18" s="150"/>
      <c r="D18" s="151" t="s">
        <v>1171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3"/>
    </row>
    <row r="19" ht="13.5" customHeight="1">
      <c r="A19" s="148"/>
      <c r="B19" s="149"/>
      <c r="C19" s="150"/>
      <c r="D19" s="151" t="s">
        <v>1173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3"/>
    </row>
    <row r="20" ht="13.5" customHeight="1">
      <c r="A20" s="148"/>
      <c r="B20" s="149"/>
      <c r="C20" s="150"/>
      <c r="D20" s="151" t="s">
        <v>1175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 t="s">
        <v>742</v>
      </c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3"/>
    </row>
    <row r="21" ht="13.5" customHeight="1">
      <c r="A21" s="148"/>
      <c r="B21" s="149"/>
      <c r="C21" s="150"/>
      <c r="D21" s="151" t="s">
        <v>1177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 t="s">
        <v>742</v>
      </c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3"/>
    </row>
    <row r="22" ht="13.5" customHeight="1">
      <c r="A22" s="148"/>
      <c r="B22" s="149"/>
      <c r="C22" s="150"/>
      <c r="D22" s="151" t="s">
        <v>1179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 t="s">
        <v>742</v>
      </c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3"/>
    </row>
    <row r="23" ht="13.5" customHeight="1">
      <c r="A23" s="148"/>
      <c r="B23" s="149"/>
      <c r="C23" s="150"/>
      <c r="D23" s="151" t="s">
        <v>1181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 t="s">
        <v>742</v>
      </c>
      <c r="R23" s="152"/>
      <c r="S23" s="152"/>
      <c r="T23" s="152"/>
      <c r="U23" s="152"/>
      <c r="V23" s="152"/>
      <c r="W23" s="152"/>
      <c r="X23" s="152"/>
      <c r="Y23" s="152"/>
      <c r="Z23" s="152"/>
      <c r="AA23" s="153"/>
    </row>
    <row r="24" ht="13.5" customHeight="1">
      <c r="A24" s="148"/>
      <c r="B24" s="149"/>
      <c r="C24" s="150"/>
      <c r="D24" s="151" t="s">
        <v>1182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 t="s">
        <v>742</v>
      </c>
      <c r="S24" s="152"/>
      <c r="T24" s="152"/>
      <c r="U24" s="152"/>
      <c r="V24" s="152"/>
      <c r="W24" s="152"/>
      <c r="X24" s="152"/>
      <c r="Y24" s="152"/>
      <c r="Z24" s="152"/>
      <c r="AA24" s="153"/>
    </row>
    <row r="25" ht="13.5" customHeight="1">
      <c r="A25" s="148"/>
      <c r="B25" s="149"/>
      <c r="C25" s="150"/>
      <c r="D25" s="151" t="s">
        <v>1183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 t="s">
        <v>742</v>
      </c>
      <c r="T25" s="152"/>
      <c r="U25" s="152"/>
      <c r="V25" s="152"/>
      <c r="W25" s="152"/>
      <c r="X25" s="152"/>
      <c r="Y25" s="152"/>
      <c r="Z25" s="152"/>
      <c r="AA25" s="153"/>
    </row>
    <row r="26" ht="13.5" customHeight="1">
      <c r="A26" s="148"/>
      <c r="B26" s="149"/>
      <c r="C26" s="150"/>
      <c r="D26" s="151" t="s">
        <v>1184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 t="s">
        <v>742</v>
      </c>
      <c r="U26" s="152"/>
      <c r="V26" s="152"/>
      <c r="W26" s="152"/>
      <c r="X26" s="152"/>
      <c r="Y26" s="152"/>
      <c r="Z26" s="152"/>
      <c r="AA26" s="153"/>
    </row>
    <row r="27" ht="13.5" customHeight="1">
      <c r="A27" s="148"/>
      <c r="B27" s="149"/>
      <c r="C27" s="150"/>
      <c r="D27" s="151" t="s">
        <v>1185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 t="s">
        <v>742</v>
      </c>
      <c r="V27" s="152"/>
      <c r="W27" s="152"/>
      <c r="X27" s="152"/>
      <c r="Y27" s="152"/>
      <c r="Z27" s="152"/>
      <c r="AA27" s="153"/>
    </row>
    <row r="28" ht="13.5" customHeight="1">
      <c r="A28" s="148"/>
      <c r="B28" s="149"/>
      <c r="C28" s="150"/>
      <c r="D28" s="151" t="s">
        <v>1186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 t="s">
        <v>742</v>
      </c>
      <c r="W28" s="152"/>
      <c r="X28" s="152"/>
      <c r="Y28" s="152"/>
      <c r="Z28" s="152"/>
      <c r="AA28" s="153"/>
    </row>
    <row r="29" ht="13.5" customHeight="1">
      <c r="A29" s="148"/>
      <c r="B29" s="149"/>
      <c r="C29" s="150"/>
      <c r="D29" s="151" t="s">
        <v>1187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 t="s">
        <v>742</v>
      </c>
      <c r="X29" s="152"/>
      <c r="Y29" s="152"/>
      <c r="Z29" s="152"/>
      <c r="AA29" s="153"/>
    </row>
    <row r="30" ht="13.5" customHeight="1">
      <c r="A30" s="148"/>
      <c r="B30" s="149"/>
      <c r="C30" s="150"/>
      <c r="D30" s="151" t="s">
        <v>1190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 t="s">
        <v>742</v>
      </c>
      <c r="Y30" s="152"/>
      <c r="Z30" s="152"/>
      <c r="AA30" s="153"/>
    </row>
    <row r="31" ht="13.5" customHeight="1">
      <c r="A31" s="148"/>
      <c r="B31" s="149"/>
      <c r="C31" s="150"/>
      <c r="D31" s="151" t="s">
        <v>1193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 t="s">
        <v>742</v>
      </c>
      <c r="Z31" s="152"/>
      <c r="AA31" s="153"/>
    </row>
    <row r="32" ht="13.5" customHeight="1">
      <c r="A32" s="148"/>
      <c r="B32" s="149"/>
      <c r="C32" s="150"/>
      <c r="D32" s="151" t="s">
        <v>1196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 t="s">
        <v>742</v>
      </c>
      <c r="AA32" s="153" t="s">
        <v>742</v>
      </c>
    </row>
    <row r="33" ht="13.5" customHeight="1">
      <c r="A33" s="148"/>
      <c r="B33" s="149" t="s">
        <v>768</v>
      </c>
      <c r="C33" s="150"/>
      <c r="D33" s="151"/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3"/>
    </row>
    <row r="34" ht="13.5" customHeight="1">
      <c r="A34" s="148"/>
      <c r="B34" s="149"/>
      <c r="C34" s="150"/>
      <c r="D34" s="151" t="s">
        <v>1201</v>
      </c>
      <c r="E34" s="145"/>
      <c r="F34" s="152" t="s">
        <v>742</v>
      </c>
      <c r="G34" s="152" t="s">
        <v>742</v>
      </c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3"/>
    </row>
    <row r="35" ht="13.5" customHeight="1">
      <c r="A35" s="148"/>
      <c r="B35" s="149"/>
      <c r="C35" s="150"/>
      <c r="D35" s="151" t="s">
        <v>1202</v>
      </c>
      <c r="E35" s="145"/>
      <c r="F35" s="152"/>
      <c r="G35" s="152"/>
      <c r="H35" s="152" t="s">
        <v>742</v>
      </c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3"/>
    </row>
    <row r="36" ht="13.5" customHeight="1">
      <c r="A36" s="148"/>
      <c r="B36" s="149"/>
      <c r="C36" s="150"/>
      <c r="D36" s="151" t="s">
        <v>1203</v>
      </c>
      <c r="E36" s="145"/>
      <c r="F36" s="152"/>
      <c r="G36" s="152"/>
      <c r="H36" s="152"/>
      <c r="I36" s="152" t="s">
        <v>742</v>
      </c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3"/>
    </row>
    <row r="37" ht="13.5" customHeight="1">
      <c r="A37" s="148"/>
      <c r="B37" s="149"/>
      <c r="C37" s="150"/>
      <c r="D37" s="151" t="s">
        <v>1204</v>
      </c>
      <c r="E37" s="145"/>
      <c r="F37" s="152"/>
      <c r="G37" s="152"/>
      <c r="H37" s="152"/>
      <c r="I37" s="152"/>
      <c r="J37" s="152" t="s">
        <v>742</v>
      </c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3"/>
    </row>
    <row r="38" ht="13.5" customHeight="1">
      <c r="A38" s="148"/>
      <c r="B38" s="149"/>
      <c r="C38" s="150"/>
      <c r="D38" s="151" t="s">
        <v>1205</v>
      </c>
      <c r="E38" s="145"/>
      <c r="F38" s="152"/>
      <c r="G38" s="152"/>
      <c r="H38" s="152"/>
      <c r="I38" s="152"/>
      <c r="J38" s="152"/>
      <c r="K38" s="152" t="s">
        <v>742</v>
      </c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3"/>
    </row>
    <row r="39" ht="13.5" customHeight="1">
      <c r="A39" s="148"/>
      <c r="B39" s="149"/>
      <c r="C39" s="150"/>
      <c r="D39" s="151" t="s">
        <v>1206</v>
      </c>
      <c r="E39" s="145"/>
      <c r="F39" s="152"/>
      <c r="G39" s="152"/>
      <c r="H39" s="152"/>
      <c r="I39" s="152"/>
      <c r="J39" s="152"/>
      <c r="K39" s="152"/>
      <c r="L39" s="152" t="s">
        <v>742</v>
      </c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3"/>
    </row>
    <row r="40" ht="13.5" customHeight="1">
      <c r="A40" s="148"/>
      <c r="B40" s="149"/>
      <c r="C40" s="150"/>
      <c r="D40" s="151" t="s">
        <v>1207</v>
      </c>
      <c r="E40" s="145"/>
      <c r="F40" s="152"/>
      <c r="G40" s="152"/>
      <c r="H40" s="152"/>
      <c r="I40" s="152"/>
      <c r="J40" s="152"/>
      <c r="K40" s="152"/>
      <c r="L40" s="152"/>
      <c r="M40" s="152" t="s">
        <v>742</v>
      </c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3"/>
    </row>
    <row r="41" ht="13.5" customHeight="1">
      <c r="A41" s="148"/>
      <c r="B41" s="149"/>
      <c r="C41" s="150"/>
      <c r="D41" s="151" t="s">
        <v>1208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 t="s">
        <v>742</v>
      </c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3"/>
    </row>
    <row r="42" ht="13.5" customHeight="1">
      <c r="A42" s="148"/>
      <c r="B42" s="149"/>
      <c r="C42" s="150"/>
      <c r="D42" s="151" t="s">
        <v>1209</v>
      </c>
      <c r="E42" s="145"/>
      <c r="F42" s="152"/>
      <c r="G42" s="152"/>
      <c r="H42" s="152"/>
      <c r="I42" s="152"/>
      <c r="J42" s="152"/>
      <c r="K42" s="152"/>
      <c r="L42" s="152"/>
      <c r="M42" s="152"/>
      <c r="N42" s="152"/>
      <c r="O42" s="152" t="s">
        <v>742</v>
      </c>
      <c r="P42" s="152" t="s">
        <v>742</v>
      </c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3"/>
    </row>
    <row r="43" ht="13.5" customHeight="1">
      <c r="A43" s="148"/>
      <c r="B43" s="149"/>
      <c r="C43" s="150"/>
      <c r="D43" s="151" t="s">
        <v>1210</v>
      </c>
      <c r="E43" s="145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 t="s">
        <v>742</v>
      </c>
      <c r="R43" s="152"/>
      <c r="S43" s="152"/>
      <c r="T43" s="152"/>
      <c r="U43" s="152"/>
      <c r="V43" s="152"/>
      <c r="W43" s="152"/>
      <c r="X43" s="152"/>
      <c r="Y43" s="152"/>
      <c r="Z43" s="152"/>
      <c r="AA43" s="153"/>
    </row>
    <row r="44" ht="13.5" customHeight="1">
      <c r="A44" s="148"/>
      <c r="B44" s="149"/>
      <c r="C44" s="150"/>
      <c r="D44" s="151" t="s">
        <v>1211</v>
      </c>
      <c r="E44" s="145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 t="s">
        <v>742</v>
      </c>
      <c r="S44" s="152" t="s">
        <v>742</v>
      </c>
      <c r="T44" s="152"/>
      <c r="U44" s="152"/>
      <c r="V44" s="152"/>
      <c r="W44" s="152"/>
      <c r="X44" s="152"/>
      <c r="Y44" s="152"/>
      <c r="Z44" s="152"/>
      <c r="AA44" s="153"/>
    </row>
    <row r="45" ht="13.5" customHeight="1">
      <c r="A45" s="148"/>
      <c r="B45" s="149"/>
      <c r="C45" s="150"/>
      <c r="D45" s="151" t="s">
        <v>1212</v>
      </c>
      <c r="E45" s="145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 t="s">
        <v>742</v>
      </c>
      <c r="U45" s="152"/>
      <c r="V45" s="152"/>
      <c r="W45" s="152"/>
      <c r="X45" s="152"/>
      <c r="Y45" s="152"/>
      <c r="Z45" s="152"/>
      <c r="AA45" s="153"/>
    </row>
    <row r="46" ht="13.5" customHeight="1">
      <c r="A46" s="148"/>
      <c r="B46" s="149"/>
      <c r="C46" s="150"/>
      <c r="D46" s="151" t="s">
        <v>1213</v>
      </c>
      <c r="E46" s="145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 t="s">
        <v>742</v>
      </c>
      <c r="V46" s="152" t="s">
        <v>742</v>
      </c>
      <c r="W46" s="152" t="s">
        <v>742</v>
      </c>
      <c r="X46" s="152"/>
      <c r="Y46" s="152" t="s">
        <v>742</v>
      </c>
      <c r="Z46" s="152"/>
      <c r="AA46" s="153"/>
    </row>
    <row r="47" ht="13.5" customHeight="1">
      <c r="A47" s="148"/>
      <c r="B47" s="149"/>
      <c r="C47" s="150"/>
      <c r="D47" s="151" t="s">
        <v>1214</v>
      </c>
      <c r="E47" s="145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 t="s">
        <v>742</v>
      </c>
      <c r="Y47" s="152"/>
      <c r="Z47" s="152"/>
      <c r="AA47" s="153"/>
    </row>
    <row r="48" ht="13.5" customHeight="1">
      <c r="A48" s="148"/>
      <c r="B48" s="149"/>
      <c r="C48" s="150"/>
      <c r="D48" s="151" t="s">
        <v>1215</v>
      </c>
      <c r="E48" s="145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 t="s">
        <v>742</v>
      </c>
      <c r="AA48" s="153"/>
    </row>
    <row r="49" ht="13.5" customHeight="1">
      <c r="A49" s="148"/>
      <c r="B49" s="149"/>
      <c r="C49" s="150"/>
      <c r="D49" s="151" t="s">
        <v>1216</v>
      </c>
      <c r="E49" s="145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3" t="s">
        <v>742</v>
      </c>
    </row>
    <row r="50" ht="13.5" customHeight="1">
      <c r="A50" s="148"/>
      <c r="B50" s="154"/>
      <c r="C50" s="155"/>
      <c r="D50" s="156"/>
      <c r="E50" s="157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9"/>
    </row>
    <row r="51" ht="13.5" customHeight="1">
      <c r="A51" s="160" t="s">
        <v>802</v>
      </c>
      <c r="B51" s="161" t="s">
        <v>804</v>
      </c>
      <c r="C51" s="162"/>
      <c r="D51" s="163"/>
      <c r="E51" s="164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7"/>
    </row>
    <row r="52" ht="13.5" customHeight="1">
      <c r="A52" s="165"/>
      <c r="B52" s="166"/>
      <c r="C52" s="167"/>
      <c r="D52" s="168" t="s">
        <v>1219</v>
      </c>
      <c r="E52" s="169"/>
      <c r="F52" s="152" t="s">
        <v>742</v>
      </c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3"/>
    </row>
    <row r="53" ht="13.5" customHeight="1">
      <c r="A53" s="165"/>
      <c r="B53" s="166"/>
      <c r="C53" s="167"/>
      <c r="D53" s="168" t="s">
        <v>1222</v>
      </c>
      <c r="E53" s="169"/>
      <c r="F53" s="152"/>
      <c r="G53" s="152" t="s">
        <v>742</v>
      </c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3"/>
    </row>
    <row r="54" ht="13.5" customHeight="1">
      <c r="A54" s="165"/>
      <c r="B54" s="166"/>
      <c r="C54" s="167"/>
      <c r="D54" s="168" t="s">
        <v>1224</v>
      </c>
      <c r="E54" s="169"/>
      <c r="F54" s="152"/>
      <c r="G54" s="152"/>
      <c r="H54" s="152" t="s">
        <v>742</v>
      </c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3"/>
    </row>
    <row r="55" ht="13.5" customHeight="1">
      <c r="A55" s="165"/>
      <c r="B55" s="166"/>
      <c r="C55" s="167"/>
      <c r="D55" s="168" t="s">
        <v>1226</v>
      </c>
      <c r="E55" s="169"/>
      <c r="F55" s="152"/>
      <c r="G55" s="152"/>
      <c r="H55" s="152"/>
      <c r="I55" s="152" t="s">
        <v>742</v>
      </c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3"/>
    </row>
    <row r="56" ht="13.5" customHeight="1">
      <c r="A56" s="165"/>
      <c r="B56" s="166"/>
      <c r="C56" s="167"/>
      <c r="D56" s="168" t="s">
        <v>1228</v>
      </c>
      <c r="E56" s="169"/>
      <c r="F56" s="152"/>
      <c r="G56" s="152"/>
      <c r="H56" s="152"/>
      <c r="I56" s="152"/>
      <c r="J56" s="152" t="s">
        <v>742</v>
      </c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3"/>
    </row>
    <row r="57" ht="13.5" customHeight="1">
      <c r="A57" s="165"/>
      <c r="B57" s="166"/>
      <c r="C57" s="167"/>
      <c r="D57" s="168" t="s">
        <v>1231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 t="s">
        <v>742</v>
      </c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3"/>
    </row>
    <row r="58" ht="13.5" customHeight="1">
      <c r="A58" s="165"/>
      <c r="B58" s="166"/>
      <c r="C58" s="167"/>
      <c r="D58" s="168" t="s">
        <v>1232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 t="s">
        <v>742</v>
      </c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3"/>
    </row>
    <row r="59" ht="13.5" customHeight="1">
      <c r="A59" s="165"/>
      <c r="B59" s="166"/>
      <c r="C59" s="167"/>
      <c r="D59" s="168" t="s">
        <v>1234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 t="s">
        <v>742</v>
      </c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3"/>
    </row>
    <row r="60" ht="13.5" customHeight="1">
      <c r="A60" s="165"/>
      <c r="B60" s="166"/>
      <c r="C60" s="167"/>
      <c r="D60" s="168" t="s">
        <v>1238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 t="s">
        <v>742</v>
      </c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3"/>
    </row>
    <row r="61" ht="13.5" customHeight="1">
      <c r="A61" s="165"/>
      <c r="B61" s="166"/>
      <c r="C61" s="167"/>
      <c r="D61" s="168" t="s">
        <v>1240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 t="s">
        <v>742</v>
      </c>
      <c r="R61" s="152"/>
      <c r="S61" s="152"/>
      <c r="T61" s="152"/>
      <c r="U61" s="152"/>
      <c r="V61" s="152"/>
      <c r="W61" s="152"/>
      <c r="X61" s="152"/>
      <c r="Y61" s="152"/>
      <c r="Z61" s="152"/>
      <c r="AA61" s="153"/>
    </row>
    <row r="62" ht="13.5" customHeight="1">
      <c r="A62" s="165"/>
      <c r="B62" s="166"/>
      <c r="C62" s="167"/>
      <c r="D62" s="168" t="s">
        <v>1242</v>
      </c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 t="s">
        <v>742</v>
      </c>
      <c r="S62" s="152"/>
      <c r="T62" s="152"/>
      <c r="U62" s="152"/>
      <c r="V62" s="152"/>
      <c r="W62" s="152"/>
      <c r="X62" s="152"/>
      <c r="Y62" s="152"/>
      <c r="Z62" s="152"/>
      <c r="AA62" s="153"/>
    </row>
    <row r="63" ht="13.5" customHeight="1">
      <c r="A63" s="165"/>
      <c r="B63" s="166"/>
      <c r="C63" s="167"/>
      <c r="D63" s="168" t="s">
        <v>1245</v>
      </c>
      <c r="E63" s="169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 t="s">
        <v>742</v>
      </c>
      <c r="T63" s="152"/>
      <c r="U63" s="152"/>
      <c r="V63" s="152"/>
      <c r="W63" s="152"/>
      <c r="X63" s="152"/>
      <c r="Y63" s="152"/>
      <c r="Z63" s="152"/>
      <c r="AA63" s="153"/>
    </row>
    <row r="64" ht="13.5" customHeight="1">
      <c r="A64" s="165"/>
      <c r="B64" s="166"/>
      <c r="C64" s="167"/>
      <c r="D64" s="168" t="s">
        <v>1247</v>
      </c>
      <c r="E64" s="169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 t="s">
        <v>742</v>
      </c>
      <c r="U64" s="152"/>
      <c r="V64" s="152"/>
      <c r="W64" s="152"/>
      <c r="X64" s="152"/>
      <c r="Y64" s="152"/>
      <c r="Z64" s="152"/>
      <c r="AA64" s="153"/>
    </row>
    <row r="65" ht="13.5" customHeight="1">
      <c r="A65" s="165"/>
      <c r="B65" s="166"/>
      <c r="C65" s="167"/>
      <c r="D65" s="168" t="s">
        <v>1249</v>
      </c>
      <c r="E65" s="169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 t="s">
        <v>742</v>
      </c>
      <c r="V65" s="152"/>
      <c r="W65" s="152"/>
      <c r="X65" s="152"/>
      <c r="Y65" s="152"/>
      <c r="Z65" s="152"/>
      <c r="AA65" s="153"/>
    </row>
    <row r="66" ht="13.5" customHeight="1">
      <c r="A66" s="165"/>
      <c r="B66" s="166"/>
      <c r="C66" s="167"/>
      <c r="D66" s="168" t="s">
        <v>1251</v>
      </c>
      <c r="E66" s="169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 t="s">
        <v>742</v>
      </c>
      <c r="W66" s="152"/>
      <c r="X66" s="152"/>
      <c r="Y66" s="152"/>
      <c r="Z66" s="152"/>
      <c r="AA66" s="153"/>
    </row>
    <row r="67" ht="13.5" customHeight="1">
      <c r="A67" s="165"/>
      <c r="B67" s="166"/>
      <c r="C67" s="167"/>
      <c r="D67" s="168" t="s">
        <v>1252</v>
      </c>
      <c r="E67" s="169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 t="s">
        <v>742</v>
      </c>
      <c r="X67" s="152"/>
      <c r="Y67" s="152"/>
      <c r="Z67" s="152"/>
      <c r="AA67" s="153"/>
    </row>
    <row r="68" ht="13.5" customHeight="1">
      <c r="A68" s="165"/>
      <c r="B68" s="166"/>
      <c r="C68" s="167"/>
      <c r="D68" s="168" t="s">
        <v>1253</v>
      </c>
      <c r="E68" s="169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 t="s">
        <v>742</v>
      </c>
      <c r="Z68" s="152"/>
      <c r="AA68" s="153"/>
    </row>
    <row r="69" ht="13.5" customHeight="1">
      <c r="A69" s="165"/>
      <c r="B69" s="166"/>
      <c r="C69" s="167"/>
      <c r="D69" s="168" t="s">
        <v>1254</v>
      </c>
      <c r="E69" s="169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 t="s">
        <v>742</v>
      </c>
      <c r="AA69" s="153"/>
    </row>
    <row r="70" ht="13.5" customHeight="1">
      <c r="A70" s="165"/>
      <c r="B70" s="166"/>
      <c r="C70" s="167"/>
      <c r="D70" s="168" t="s">
        <v>1255</v>
      </c>
      <c r="E70" s="169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3" t="s">
        <v>742</v>
      </c>
    </row>
    <row r="71" ht="13.5" customHeight="1">
      <c r="A71" s="165"/>
      <c r="B71" s="166" t="s">
        <v>825</v>
      </c>
      <c r="C71" s="167"/>
      <c r="D71" s="168"/>
      <c r="E71" s="169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3"/>
    </row>
    <row r="72" ht="13.5" customHeight="1">
      <c r="A72" s="165"/>
      <c r="B72" s="166"/>
      <c r="C72" s="167"/>
      <c r="D72" s="168" t="s">
        <v>1258</v>
      </c>
      <c r="E72" s="169"/>
      <c r="F72" s="152"/>
      <c r="G72" s="152"/>
      <c r="H72" s="152"/>
      <c r="I72" s="152"/>
      <c r="J72" s="152"/>
      <c r="K72" s="152" t="s">
        <v>742</v>
      </c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3"/>
    </row>
    <row r="73" ht="13.5" customHeight="1">
      <c r="A73" s="165"/>
      <c r="B73" s="166"/>
      <c r="C73" s="167"/>
      <c r="D73" s="168" t="s">
        <v>1259</v>
      </c>
      <c r="E73" s="169"/>
      <c r="F73" s="152"/>
      <c r="G73" s="152"/>
      <c r="H73" s="152"/>
      <c r="I73" s="152"/>
      <c r="J73" s="152"/>
      <c r="K73" s="152"/>
      <c r="L73" s="152" t="s">
        <v>742</v>
      </c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3"/>
    </row>
    <row r="74" ht="13.5" customHeight="1">
      <c r="A74" s="165"/>
      <c r="B74" s="166"/>
      <c r="C74" s="167"/>
      <c r="D74" s="168" t="s">
        <v>1262</v>
      </c>
      <c r="E74" s="169"/>
      <c r="F74" s="152"/>
      <c r="G74" s="152"/>
      <c r="H74" s="152"/>
      <c r="I74" s="152"/>
      <c r="J74" s="152"/>
      <c r="K74" s="152"/>
      <c r="L74" s="152"/>
      <c r="M74" s="152" t="s">
        <v>742</v>
      </c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3"/>
    </row>
    <row r="75" ht="13.5" customHeight="1">
      <c r="A75" s="165"/>
      <c r="B75" s="166"/>
      <c r="C75" s="167"/>
      <c r="D75" s="168" t="s">
        <v>1264</v>
      </c>
      <c r="E75" s="169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 t="s">
        <v>742</v>
      </c>
      <c r="Y75" s="152"/>
      <c r="Z75" s="152"/>
      <c r="AA75" s="153"/>
    </row>
    <row r="76" ht="13.5" customHeight="1">
      <c r="A76" s="165"/>
      <c r="B76" s="166" t="s">
        <v>854</v>
      </c>
      <c r="C76" s="167"/>
      <c r="D76" s="168"/>
      <c r="E76" s="169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3"/>
    </row>
    <row r="77" ht="13.5" customHeight="1">
      <c r="A77" s="165"/>
      <c r="B77" s="166"/>
      <c r="C77" s="167"/>
      <c r="D77" s="168" t="s">
        <v>1268</v>
      </c>
      <c r="E77" s="169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 t="s">
        <v>742</v>
      </c>
      <c r="R77" s="152"/>
      <c r="S77" s="152"/>
      <c r="T77" s="152"/>
      <c r="U77" s="152"/>
      <c r="V77" s="152"/>
      <c r="W77" s="152"/>
      <c r="X77" s="152"/>
      <c r="Y77" s="152"/>
      <c r="Z77" s="152"/>
      <c r="AA77" s="153"/>
    </row>
    <row r="78" ht="13.5" customHeight="1">
      <c r="A78" s="165"/>
      <c r="B78" s="170"/>
      <c r="C78" s="171"/>
      <c r="D78" s="172"/>
      <c r="E78" s="173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5"/>
    </row>
    <row r="79" ht="13.5" customHeight="1">
      <c r="A79" s="160" t="s">
        <v>865</v>
      </c>
      <c r="B79" s="176" t="s">
        <v>866</v>
      </c>
      <c r="C79" s="177"/>
      <c r="D79" s="178"/>
      <c r="E79" s="179"/>
      <c r="F79" s="180" t="s">
        <v>54</v>
      </c>
      <c r="G79" s="180" t="s">
        <v>57</v>
      </c>
      <c r="H79" s="180" t="s">
        <v>54</v>
      </c>
      <c r="I79" s="180" t="s">
        <v>54</v>
      </c>
      <c r="J79" s="180" t="s">
        <v>55</v>
      </c>
      <c r="K79" s="180" t="s">
        <v>55</v>
      </c>
      <c r="L79" s="180" t="s">
        <v>55</v>
      </c>
      <c r="M79" s="180" t="s">
        <v>55</v>
      </c>
      <c r="N79" s="180" t="s">
        <v>54</v>
      </c>
      <c r="O79" s="180" t="s">
        <v>54</v>
      </c>
      <c r="P79" s="180" t="s">
        <v>55</v>
      </c>
      <c r="Q79" s="180" t="s">
        <v>55</v>
      </c>
      <c r="R79" s="180" t="s">
        <v>55</v>
      </c>
      <c r="S79" s="180" t="s">
        <v>55</v>
      </c>
      <c r="T79" s="180" t="s">
        <v>54</v>
      </c>
      <c r="U79" s="180" t="s">
        <v>57</v>
      </c>
      <c r="V79" s="180" t="s">
        <v>55</v>
      </c>
      <c r="W79" s="180" t="s">
        <v>55</v>
      </c>
      <c r="X79" s="180" t="s">
        <v>55</v>
      </c>
      <c r="Y79" s="180" t="s">
        <v>54</v>
      </c>
      <c r="Z79" s="180" t="s">
        <v>54</v>
      </c>
      <c r="AA79" s="181" t="s">
        <v>54</v>
      </c>
    </row>
    <row r="80" ht="13.5" customHeight="1">
      <c r="A80" s="165"/>
      <c r="B80" s="182" t="s">
        <v>867</v>
      </c>
      <c r="C80" s="27"/>
      <c r="D80" s="25"/>
      <c r="E80" s="183"/>
      <c r="F80" s="184" t="s">
        <v>868</v>
      </c>
      <c r="G80" s="184" t="s">
        <v>868</v>
      </c>
      <c r="H80" s="184" t="s">
        <v>868</v>
      </c>
      <c r="I80" s="184" t="s">
        <v>868</v>
      </c>
      <c r="J80" s="184" t="s">
        <v>868</v>
      </c>
      <c r="K80" s="184" t="s">
        <v>868</v>
      </c>
      <c r="L80" s="184" t="s">
        <v>868</v>
      </c>
      <c r="M80" s="184" t="s">
        <v>868</v>
      </c>
      <c r="N80" s="184" t="s">
        <v>868</v>
      </c>
      <c r="O80" s="184" t="s">
        <v>868</v>
      </c>
      <c r="P80" s="184" t="s">
        <v>868</v>
      </c>
      <c r="Q80" s="184" t="s">
        <v>868</v>
      </c>
      <c r="R80" s="184" t="s">
        <v>868</v>
      </c>
      <c r="S80" s="184" t="s">
        <v>868</v>
      </c>
      <c r="T80" s="184" t="s">
        <v>868</v>
      </c>
      <c r="U80" s="184" t="s">
        <v>868</v>
      </c>
      <c r="V80" s="184" t="s">
        <v>868</v>
      </c>
      <c r="W80" s="184" t="s">
        <v>868</v>
      </c>
      <c r="X80" s="184" t="s">
        <v>868</v>
      </c>
      <c r="Y80" s="184" t="s">
        <v>868</v>
      </c>
      <c r="Z80" s="184" t="s">
        <v>868</v>
      </c>
      <c r="AA80" s="185" t="s">
        <v>868</v>
      </c>
    </row>
    <row r="81" ht="99.75" customHeight="1">
      <c r="A81" s="165"/>
      <c r="B81" s="186" t="s">
        <v>869</v>
      </c>
      <c r="C81" s="27"/>
      <c r="D81" s="25"/>
      <c r="E81" s="169"/>
      <c r="F81" s="187">
        <v>46227.0</v>
      </c>
      <c r="G81" s="187">
        <v>46227.0</v>
      </c>
      <c r="H81" s="187">
        <v>46227.0</v>
      </c>
      <c r="I81" s="187">
        <v>46227.0</v>
      </c>
      <c r="J81" s="187">
        <v>46227.0</v>
      </c>
      <c r="K81" s="187">
        <v>46227.0</v>
      </c>
      <c r="L81" s="187">
        <v>46227.0</v>
      </c>
      <c r="M81" s="187">
        <v>46227.0</v>
      </c>
      <c r="N81" s="187">
        <v>46227.0</v>
      </c>
      <c r="O81" s="187">
        <v>46227.0</v>
      </c>
      <c r="P81" s="187">
        <v>46227.0</v>
      </c>
      <c r="Q81" s="187">
        <v>46227.0</v>
      </c>
      <c r="R81" s="187">
        <v>46227.0</v>
      </c>
      <c r="S81" s="187">
        <v>46227.0</v>
      </c>
      <c r="T81" s="187">
        <v>46227.0</v>
      </c>
      <c r="U81" s="187">
        <v>46227.0</v>
      </c>
      <c r="V81" s="187">
        <v>46227.0</v>
      </c>
      <c r="W81" s="187">
        <v>46227.0</v>
      </c>
      <c r="X81" s="187">
        <v>46227.0</v>
      </c>
      <c r="Y81" s="187">
        <v>46227.0</v>
      </c>
      <c r="Z81" s="187">
        <v>46227.0</v>
      </c>
      <c r="AA81" s="189">
        <v>46227.0</v>
      </c>
    </row>
    <row r="82" ht="72.75" customHeight="1">
      <c r="A82" s="190"/>
      <c r="B82" s="191" t="s">
        <v>870</v>
      </c>
      <c r="C82" s="192"/>
      <c r="D82" s="193"/>
      <c r="E82" s="194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6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AA4"/>
    <mergeCell ref="C5:AA5"/>
    <mergeCell ref="A2:B2"/>
    <mergeCell ref="C2:E2"/>
    <mergeCell ref="F2:K2"/>
    <mergeCell ref="L2:AA2"/>
    <mergeCell ref="C3:E3"/>
    <mergeCell ref="F3:K3"/>
    <mergeCell ref="L3:AA3"/>
    <mergeCell ref="F6:K6"/>
    <mergeCell ref="L6:N6"/>
    <mergeCell ref="O6:AA6"/>
    <mergeCell ref="A7:B7"/>
    <mergeCell ref="C7:E7"/>
    <mergeCell ref="F7:K7"/>
    <mergeCell ref="O7:AA7"/>
    <mergeCell ref="B79:D79"/>
    <mergeCell ref="B80:D80"/>
    <mergeCell ref="B81:D81"/>
    <mergeCell ref="B82:D82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208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182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79.0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1158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COUNTIF(F38:T38,"P")</f>
        <v>9</v>
      </c>
      <c r="B7" s="130"/>
      <c r="C7" s="131">
        <f>COUNTIF(F38:T38,"F")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COUNTIF(F37:T37,"N")</f>
        <v>5</v>
      </c>
      <c r="M7" s="132">
        <f>COUNTIF(F37:T37,"A")</f>
        <v>0</v>
      </c>
      <c r="N7" s="132">
        <f>COUNTIF(F37:T37,"B")</f>
        <v>4</v>
      </c>
      <c r="O7" s="133">
        <f>COUNTA(F9:T9)</f>
        <v>9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1163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1165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1167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1168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1170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1172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1174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1176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1178</v>
      </c>
      <c r="E19" s="145"/>
      <c r="F19" s="152"/>
      <c r="G19" s="152"/>
      <c r="H19" s="152"/>
      <c r="I19" s="152"/>
      <c r="J19" s="152"/>
      <c r="K19" s="152"/>
      <c r="L19" s="152"/>
      <c r="M19" s="152" t="s">
        <v>742</v>
      </c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1180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 t="s">
        <v>742</v>
      </c>
      <c r="O20" s="152"/>
      <c r="P20" s="152"/>
      <c r="Q20" s="152"/>
      <c r="R20" s="152"/>
      <c r="S20" s="152"/>
      <c r="T20" s="153"/>
    </row>
    <row r="21" ht="13.5" customHeight="1">
      <c r="A21" s="148"/>
      <c r="B21" s="149" t="s">
        <v>768</v>
      </c>
      <c r="C21" s="150"/>
      <c r="D21" s="151"/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207</v>
      </c>
      <c r="E22" s="145"/>
      <c r="F22" s="152" t="s">
        <v>742</v>
      </c>
      <c r="G22" s="152" t="s">
        <v>742</v>
      </c>
      <c r="H22" s="152" t="s">
        <v>742</v>
      </c>
      <c r="I22" s="152" t="s">
        <v>742</v>
      </c>
      <c r="J22" s="152" t="s">
        <v>742</v>
      </c>
      <c r="K22" s="152" t="s">
        <v>742</v>
      </c>
      <c r="L22" s="152" t="s">
        <v>742</v>
      </c>
      <c r="M22" s="152" t="s">
        <v>742</v>
      </c>
      <c r="N22" s="152" t="s">
        <v>742</v>
      </c>
      <c r="O22" s="152"/>
      <c r="P22" s="152"/>
      <c r="Q22" s="152"/>
      <c r="R22" s="152"/>
      <c r="S22" s="152"/>
      <c r="T22" s="153"/>
    </row>
    <row r="23" ht="13.5" customHeight="1">
      <c r="A23" s="148"/>
      <c r="B23" s="154"/>
      <c r="C23" s="155"/>
      <c r="D23" s="156"/>
      <c r="E23" s="157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9"/>
    </row>
    <row r="24" ht="13.5" customHeight="1">
      <c r="A24" s="160" t="s">
        <v>802</v>
      </c>
      <c r="B24" s="161" t="s">
        <v>804</v>
      </c>
      <c r="C24" s="162"/>
      <c r="D24" s="163"/>
      <c r="E24" s="164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7"/>
    </row>
    <row r="25" ht="13.5" customHeight="1">
      <c r="A25" s="165"/>
      <c r="B25" s="166"/>
      <c r="C25" s="167"/>
      <c r="D25" s="168" t="s">
        <v>1188</v>
      </c>
      <c r="E25" s="169"/>
      <c r="F25" s="152" t="s">
        <v>742</v>
      </c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65"/>
      <c r="B26" s="166"/>
      <c r="C26" s="167"/>
      <c r="D26" s="168" t="s">
        <v>1189</v>
      </c>
      <c r="E26" s="169"/>
      <c r="F26" s="152"/>
      <c r="G26" s="152" t="s">
        <v>742</v>
      </c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65"/>
      <c r="B27" s="166"/>
      <c r="C27" s="167"/>
      <c r="D27" s="168" t="s">
        <v>1191</v>
      </c>
      <c r="E27" s="169"/>
      <c r="F27" s="152"/>
      <c r="G27" s="152"/>
      <c r="H27" s="152" t="s">
        <v>742</v>
      </c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65"/>
      <c r="B28" s="166"/>
      <c r="C28" s="167"/>
      <c r="D28" s="168" t="s">
        <v>1192</v>
      </c>
      <c r="E28" s="169"/>
      <c r="F28" s="152"/>
      <c r="G28" s="152"/>
      <c r="H28" s="152"/>
      <c r="I28" s="152" t="s">
        <v>742</v>
      </c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66"/>
      <c r="C29" s="167"/>
      <c r="D29" s="168" t="s">
        <v>1194</v>
      </c>
      <c r="E29" s="169"/>
      <c r="F29" s="152"/>
      <c r="G29" s="152"/>
      <c r="H29" s="152"/>
      <c r="I29" s="152"/>
      <c r="J29" s="152" t="s">
        <v>742</v>
      </c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/>
      <c r="C30" s="167"/>
      <c r="D30" s="168" t="s">
        <v>1195</v>
      </c>
      <c r="E30" s="169"/>
      <c r="F30" s="152"/>
      <c r="G30" s="152"/>
      <c r="H30" s="152"/>
      <c r="I30" s="152"/>
      <c r="J30" s="152"/>
      <c r="K30" s="152" t="s">
        <v>742</v>
      </c>
      <c r="L30" s="152"/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65"/>
      <c r="B31" s="166"/>
      <c r="C31" s="167"/>
      <c r="D31" s="168" t="s">
        <v>1197</v>
      </c>
      <c r="E31" s="169"/>
      <c r="F31" s="152"/>
      <c r="G31" s="152"/>
      <c r="H31" s="152"/>
      <c r="I31" s="152"/>
      <c r="J31" s="152"/>
      <c r="K31" s="152"/>
      <c r="L31" s="152" t="s">
        <v>742</v>
      </c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/>
      <c r="C32" s="167"/>
      <c r="D32" s="168" t="s">
        <v>1198</v>
      </c>
      <c r="E32" s="169"/>
      <c r="F32" s="152"/>
      <c r="G32" s="152"/>
      <c r="H32" s="152"/>
      <c r="I32" s="152"/>
      <c r="J32" s="152"/>
      <c r="K32" s="152"/>
      <c r="L32" s="152"/>
      <c r="M32" s="152" t="s">
        <v>742</v>
      </c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1200</v>
      </c>
      <c r="E33" s="169"/>
      <c r="F33" s="152"/>
      <c r="G33" s="152"/>
      <c r="H33" s="152"/>
      <c r="I33" s="152"/>
      <c r="J33" s="152"/>
      <c r="K33" s="152"/>
      <c r="L33" s="152"/>
      <c r="M33" s="152"/>
      <c r="N33" s="152" t="s">
        <v>742</v>
      </c>
      <c r="O33" s="152"/>
      <c r="P33" s="152"/>
      <c r="Q33" s="152"/>
      <c r="R33" s="152"/>
      <c r="S33" s="152"/>
      <c r="T33" s="153"/>
    </row>
    <row r="34" ht="13.5" customHeight="1">
      <c r="A34" s="165"/>
      <c r="B34" s="166" t="s">
        <v>825</v>
      </c>
      <c r="C34" s="167"/>
      <c r="D34" s="168"/>
      <c r="E34" s="169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 t="s">
        <v>854</v>
      </c>
      <c r="C35" s="167"/>
      <c r="D35" s="168"/>
      <c r="E35" s="169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70"/>
      <c r="C36" s="171"/>
      <c r="D36" s="172"/>
      <c r="E36" s="173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</row>
    <row r="37" ht="13.5" customHeight="1">
      <c r="A37" s="160" t="s">
        <v>865</v>
      </c>
      <c r="B37" s="176" t="s">
        <v>866</v>
      </c>
      <c r="C37" s="177"/>
      <c r="D37" s="178"/>
      <c r="E37" s="179"/>
      <c r="F37" s="180" t="s">
        <v>54</v>
      </c>
      <c r="G37" s="180" t="s">
        <v>57</v>
      </c>
      <c r="H37" s="180" t="s">
        <v>54</v>
      </c>
      <c r="I37" s="180" t="s">
        <v>54</v>
      </c>
      <c r="J37" s="180" t="s">
        <v>57</v>
      </c>
      <c r="K37" s="180" t="s">
        <v>54</v>
      </c>
      <c r="L37" s="180" t="s">
        <v>54</v>
      </c>
      <c r="M37" s="180" t="s">
        <v>57</v>
      </c>
      <c r="N37" s="180" t="s">
        <v>57</v>
      </c>
      <c r="O37" s="180"/>
      <c r="P37" s="180"/>
      <c r="Q37" s="180"/>
      <c r="R37" s="180"/>
      <c r="S37" s="180"/>
      <c r="T37" s="181"/>
    </row>
    <row r="38" ht="13.5" customHeight="1">
      <c r="A38" s="165"/>
      <c r="B38" s="182" t="s">
        <v>867</v>
      </c>
      <c r="C38" s="27"/>
      <c r="D38" s="25"/>
      <c r="E38" s="183"/>
      <c r="F38" s="184" t="s">
        <v>868</v>
      </c>
      <c r="G38" s="184" t="s">
        <v>868</v>
      </c>
      <c r="H38" s="184" t="s">
        <v>868</v>
      </c>
      <c r="I38" s="184" t="s">
        <v>868</v>
      </c>
      <c r="J38" s="184" t="s">
        <v>868</v>
      </c>
      <c r="K38" s="184" t="s">
        <v>868</v>
      </c>
      <c r="L38" s="184" t="s">
        <v>868</v>
      </c>
      <c r="M38" s="184" t="s">
        <v>868</v>
      </c>
      <c r="N38" s="184" t="s">
        <v>868</v>
      </c>
      <c r="O38" s="184"/>
      <c r="P38" s="184"/>
      <c r="Q38" s="184"/>
      <c r="R38" s="184"/>
      <c r="S38" s="184"/>
      <c r="T38" s="185"/>
    </row>
    <row r="39" ht="99.75" customHeight="1">
      <c r="A39" s="165"/>
      <c r="B39" s="186" t="s">
        <v>869</v>
      </c>
      <c r="C39" s="27"/>
      <c r="D39" s="25"/>
      <c r="E39" s="169"/>
      <c r="F39" s="187">
        <v>46210.0</v>
      </c>
      <c r="G39" s="187">
        <v>46210.0</v>
      </c>
      <c r="H39" s="187">
        <v>46210.0</v>
      </c>
      <c r="I39" s="187">
        <v>46210.0</v>
      </c>
      <c r="J39" s="187">
        <v>46210.0</v>
      </c>
      <c r="K39" s="187">
        <v>46210.0</v>
      </c>
      <c r="L39" s="187">
        <v>46210.0</v>
      </c>
      <c r="M39" s="187">
        <v>46210.0</v>
      </c>
      <c r="N39" s="187">
        <v>46210.0</v>
      </c>
      <c r="O39" s="197"/>
      <c r="P39" s="197"/>
      <c r="Q39" s="197"/>
      <c r="R39" s="197"/>
      <c r="S39" s="197"/>
      <c r="T39" s="188"/>
    </row>
    <row r="40" ht="72.75" customHeight="1">
      <c r="A40" s="190"/>
      <c r="B40" s="191" t="s">
        <v>870</v>
      </c>
      <c r="C40" s="192"/>
      <c r="D40" s="193"/>
      <c r="E40" s="194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6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7:D37"/>
    <mergeCell ref="B38:D38"/>
    <mergeCell ref="B39:D39"/>
    <mergeCell ref="B40:D40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212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189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88.0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1199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COUNTIF(F50:T50,"P")</f>
        <v>12</v>
      </c>
      <c r="B7" s="130"/>
      <c r="C7" s="131">
        <f>COUNTIF(F50:T50,"F")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COUNTIF(F49:T49,"N")</f>
        <v>7</v>
      </c>
      <c r="M7" s="132">
        <f>COUNTIF(F49:T49,"A")</f>
        <v>4</v>
      </c>
      <c r="N7" s="132">
        <f>COUNTIF(F49:T49,"B")</f>
        <v>1</v>
      </c>
      <c r="O7" s="133">
        <f>COUNTA(F9:T9)</f>
        <v>12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1217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1014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1218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1220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1221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1223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930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 t="s">
        <v>742</v>
      </c>
      <c r="R17" s="152"/>
      <c r="S17" s="152"/>
      <c r="T17" s="153"/>
    </row>
    <row r="18" ht="13.5" customHeight="1">
      <c r="A18" s="148"/>
      <c r="B18" s="149"/>
      <c r="C18" s="150"/>
      <c r="D18" s="151" t="s">
        <v>1225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1227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1229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 t="s">
        <v>742</v>
      </c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1230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 t="s">
        <v>742</v>
      </c>
      <c r="Q21" s="152"/>
      <c r="R21" s="152"/>
      <c r="S21" s="152"/>
      <c r="T21" s="153"/>
    </row>
    <row r="22" ht="13.5" customHeight="1">
      <c r="A22" s="148"/>
      <c r="B22" s="149" t="s">
        <v>768</v>
      </c>
      <c r="C22" s="150"/>
      <c r="D22" s="151"/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1233</v>
      </c>
      <c r="E23" s="145"/>
      <c r="F23" s="152" t="s">
        <v>742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1235</v>
      </c>
      <c r="E24" s="145"/>
      <c r="F24" s="152"/>
      <c r="G24" s="152" t="s">
        <v>742</v>
      </c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1237</v>
      </c>
      <c r="E25" s="145"/>
      <c r="F25" s="152"/>
      <c r="G25" s="152"/>
      <c r="H25" s="152" t="s">
        <v>742</v>
      </c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1239</v>
      </c>
      <c r="E26" s="145"/>
      <c r="F26" s="152"/>
      <c r="G26" s="152"/>
      <c r="H26" s="152"/>
      <c r="I26" s="152" t="s">
        <v>742</v>
      </c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1241</v>
      </c>
      <c r="E27" s="145"/>
      <c r="F27" s="152"/>
      <c r="G27" s="152"/>
      <c r="H27" s="152"/>
      <c r="I27" s="152"/>
      <c r="J27" s="152" t="s">
        <v>742</v>
      </c>
      <c r="K27" s="152" t="s">
        <v>742</v>
      </c>
      <c r="L27" s="152"/>
      <c r="M27" s="152" t="s">
        <v>742</v>
      </c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1243</v>
      </c>
      <c r="E28" s="145"/>
      <c r="F28" s="152"/>
      <c r="G28" s="152"/>
      <c r="H28" s="152"/>
      <c r="I28" s="152"/>
      <c r="J28" s="152"/>
      <c r="K28" s="152"/>
      <c r="L28" s="152" t="s">
        <v>742</v>
      </c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1244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 t="s">
        <v>742</v>
      </c>
      <c r="O29" s="152"/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1246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 t="s">
        <v>742</v>
      </c>
      <c r="P30" s="152"/>
      <c r="Q30" s="152"/>
      <c r="R30" s="152"/>
      <c r="S30" s="152"/>
      <c r="T30" s="153"/>
    </row>
    <row r="31" ht="13.5" customHeight="1">
      <c r="A31" s="148"/>
      <c r="B31" s="149"/>
      <c r="C31" s="150"/>
      <c r="D31" s="151" t="s">
        <v>1248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 t="s">
        <v>742</v>
      </c>
      <c r="Q31" s="152"/>
      <c r="R31" s="152"/>
      <c r="S31" s="152"/>
      <c r="T31" s="153"/>
    </row>
    <row r="32" ht="13.5" customHeight="1">
      <c r="A32" s="148"/>
      <c r="B32" s="149"/>
      <c r="C32" s="150"/>
      <c r="D32" s="151" t="s">
        <v>1250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 t="s">
        <v>742</v>
      </c>
      <c r="R32" s="152"/>
      <c r="S32" s="152"/>
      <c r="T32" s="153"/>
    </row>
    <row r="33" ht="13.5" customHeight="1">
      <c r="A33" s="148"/>
      <c r="B33" s="154"/>
      <c r="C33" s="155"/>
      <c r="D33" s="156"/>
      <c r="E33" s="157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9"/>
    </row>
    <row r="34" ht="13.5" customHeight="1">
      <c r="A34" s="160" t="s">
        <v>802</v>
      </c>
      <c r="B34" s="161" t="s">
        <v>804</v>
      </c>
      <c r="C34" s="162"/>
      <c r="D34" s="163"/>
      <c r="E34" s="164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7"/>
    </row>
    <row r="35" ht="13.5" customHeight="1">
      <c r="A35" s="165"/>
      <c r="B35" s="166"/>
      <c r="C35" s="167"/>
      <c r="D35" s="168" t="s">
        <v>1256</v>
      </c>
      <c r="E35" s="169"/>
      <c r="F35" s="152" t="s">
        <v>742</v>
      </c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1257</v>
      </c>
      <c r="E36" s="169"/>
      <c r="F36" s="152"/>
      <c r="G36" s="152" t="s">
        <v>742</v>
      </c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1260</v>
      </c>
      <c r="E37" s="169"/>
      <c r="F37" s="152"/>
      <c r="G37" s="152"/>
      <c r="H37" s="152" t="s">
        <v>742</v>
      </c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1261</v>
      </c>
      <c r="E38" s="169"/>
      <c r="F38" s="152"/>
      <c r="G38" s="152"/>
      <c r="H38" s="152"/>
      <c r="I38" s="152" t="s">
        <v>742</v>
      </c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1263</v>
      </c>
      <c r="E39" s="169"/>
      <c r="F39" s="152"/>
      <c r="G39" s="152"/>
      <c r="H39" s="152"/>
      <c r="I39" s="152"/>
      <c r="J39" s="152" t="s">
        <v>742</v>
      </c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1265</v>
      </c>
      <c r="E40" s="169"/>
      <c r="F40" s="152"/>
      <c r="G40" s="152"/>
      <c r="H40" s="152"/>
      <c r="I40" s="152"/>
      <c r="J40" s="152"/>
      <c r="K40" s="152" t="s">
        <v>742</v>
      </c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1267</v>
      </c>
      <c r="E41" s="169"/>
      <c r="F41" s="152"/>
      <c r="G41" s="152"/>
      <c r="H41" s="152"/>
      <c r="I41" s="152"/>
      <c r="J41" s="152"/>
      <c r="K41" s="152"/>
      <c r="L41" s="152"/>
      <c r="M41" s="152"/>
      <c r="N41" s="152" t="s">
        <v>742</v>
      </c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1270</v>
      </c>
      <c r="E42" s="169"/>
      <c r="F42" s="152"/>
      <c r="G42" s="152"/>
      <c r="H42" s="152"/>
      <c r="I42" s="152"/>
      <c r="J42" s="152"/>
      <c r="K42" s="152"/>
      <c r="L42" s="152"/>
      <c r="M42" s="152"/>
      <c r="N42" s="152"/>
      <c r="O42" s="152" t="s">
        <v>742</v>
      </c>
      <c r="P42" s="152"/>
      <c r="Q42" s="152"/>
      <c r="R42" s="152"/>
      <c r="S42" s="152"/>
      <c r="T42" s="153"/>
    </row>
    <row r="43" ht="13.5" customHeight="1">
      <c r="A43" s="165"/>
      <c r="B43" s="166" t="s">
        <v>825</v>
      </c>
      <c r="C43" s="167"/>
      <c r="D43" s="168"/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1273</v>
      </c>
      <c r="E44" s="169"/>
      <c r="F44" s="152"/>
      <c r="G44" s="152"/>
      <c r="H44" s="152"/>
      <c r="I44" s="152"/>
      <c r="J44" s="152"/>
      <c r="K44" s="152"/>
      <c r="L44" s="152" t="s">
        <v>742</v>
      </c>
      <c r="M44" s="152"/>
      <c r="N44" s="152"/>
      <c r="O44" s="152"/>
      <c r="P44" s="152"/>
      <c r="Q44" s="152" t="s">
        <v>742</v>
      </c>
      <c r="R44" s="152"/>
      <c r="S44" s="152"/>
      <c r="T44" s="153"/>
    </row>
    <row r="45" ht="13.5" customHeight="1">
      <c r="A45" s="165"/>
      <c r="B45" s="166"/>
      <c r="C45" s="167"/>
      <c r="D45" s="168" t="s">
        <v>1274</v>
      </c>
      <c r="E45" s="169"/>
      <c r="F45" s="152"/>
      <c r="G45" s="152"/>
      <c r="H45" s="152"/>
      <c r="I45" s="152"/>
      <c r="J45" s="152"/>
      <c r="K45" s="152"/>
      <c r="L45" s="152"/>
      <c r="M45" s="152" t="s">
        <v>742</v>
      </c>
      <c r="N45" s="152"/>
      <c r="O45" s="152"/>
      <c r="P45" s="152"/>
      <c r="Q45" s="152"/>
      <c r="R45" s="152"/>
      <c r="S45" s="152"/>
      <c r="T45" s="153"/>
    </row>
    <row r="46" ht="13.5" customHeight="1">
      <c r="A46" s="165"/>
      <c r="B46" s="166"/>
      <c r="C46" s="167"/>
      <c r="D46" s="168" t="s">
        <v>1276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 t="s">
        <v>742</v>
      </c>
      <c r="Q46" s="152"/>
      <c r="R46" s="152"/>
      <c r="S46" s="152"/>
      <c r="T46" s="153"/>
    </row>
    <row r="47" ht="13.5" customHeight="1">
      <c r="A47" s="165"/>
      <c r="B47" s="166" t="s">
        <v>854</v>
      </c>
      <c r="C47" s="167"/>
      <c r="D47" s="168"/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3"/>
    </row>
    <row r="48" ht="13.5" customHeight="1">
      <c r="A48" s="165"/>
      <c r="B48" s="170"/>
      <c r="C48" s="171"/>
      <c r="D48" s="172"/>
      <c r="E48" s="173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5"/>
    </row>
    <row r="49" ht="13.5" customHeight="1">
      <c r="A49" s="160" t="s">
        <v>865</v>
      </c>
      <c r="B49" s="176" t="s">
        <v>866</v>
      </c>
      <c r="C49" s="177"/>
      <c r="D49" s="178"/>
      <c r="E49" s="179"/>
      <c r="F49" s="180" t="s">
        <v>54</v>
      </c>
      <c r="G49" s="180" t="s">
        <v>54</v>
      </c>
      <c r="H49" s="180" t="s">
        <v>54</v>
      </c>
      <c r="I49" s="180" t="s">
        <v>57</v>
      </c>
      <c r="J49" s="180" t="s">
        <v>54</v>
      </c>
      <c r="K49" s="180" t="s">
        <v>54</v>
      </c>
      <c r="L49" s="180" t="s">
        <v>55</v>
      </c>
      <c r="M49" s="180" t="s">
        <v>55</v>
      </c>
      <c r="N49" s="180" t="s">
        <v>54</v>
      </c>
      <c r="O49" s="180" t="s">
        <v>54</v>
      </c>
      <c r="P49" s="180" t="s">
        <v>55</v>
      </c>
      <c r="Q49" s="180" t="s">
        <v>55</v>
      </c>
      <c r="R49" s="180"/>
      <c r="S49" s="180"/>
      <c r="T49" s="181"/>
    </row>
    <row r="50" ht="13.5" customHeight="1">
      <c r="A50" s="165"/>
      <c r="B50" s="182" t="s">
        <v>867</v>
      </c>
      <c r="C50" s="27"/>
      <c r="D50" s="25"/>
      <c r="E50" s="183"/>
      <c r="F50" s="184" t="s">
        <v>868</v>
      </c>
      <c r="G50" s="184" t="s">
        <v>868</v>
      </c>
      <c r="H50" s="184" t="s">
        <v>868</v>
      </c>
      <c r="I50" s="184" t="s">
        <v>868</v>
      </c>
      <c r="J50" s="184" t="s">
        <v>868</v>
      </c>
      <c r="K50" s="184" t="s">
        <v>868</v>
      </c>
      <c r="L50" s="184" t="s">
        <v>868</v>
      </c>
      <c r="M50" s="184" t="s">
        <v>868</v>
      </c>
      <c r="N50" s="184" t="s">
        <v>868</v>
      </c>
      <c r="O50" s="184" t="s">
        <v>868</v>
      </c>
      <c r="P50" s="184" t="s">
        <v>868</v>
      </c>
      <c r="Q50" s="184" t="s">
        <v>868</v>
      </c>
      <c r="R50" s="184"/>
      <c r="S50" s="184"/>
      <c r="T50" s="185"/>
    </row>
    <row r="51" ht="99.75" customHeight="1">
      <c r="A51" s="165"/>
      <c r="B51" s="186" t="s">
        <v>869</v>
      </c>
      <c r="C51" s="27"/>
      <c r="D51" s="25"/>
      <c r="E51" s="169"/>
      <c r="F51" s="187">
        <v>46210.0</v>
      </c>
      <c r="G51" s="187">
        <v>46210.0</v>
      </c>
      <c r="H51" s="187">
        <v>46210.0</v>
      </c>
      <c r="I51" s="187">
        <v>46210.0</v>
      </c>
      <c r="J51" s="187">
        <v>46210.0</v>
      </c>
      <c r="K51" s="187">
        <v>46210.0</v>
      </c>
      <c r="L51" s="187">
        <v>46210.0</v>
      </c>
      <c r="M51" s="187">
        <v>46210.0</v>
      </c>
      <c r="N51" s="187">
        <v>46210.0</v>
      </c>
      <c r="O51" s="187">
        <v>46210.0</v>
      </c>
      <c r="P51" s="187">
        <v>46210.0</v>
      </c>
      <c r="Q51" s="187">
        <v>46210.0</v>
      </c>
      <c r="R51" s="197"/>
      <c r="S51" s="197"/>
      <c r="T51" s="188"/>
    </row>
    <row r="52" ht="72.75" customHeight="1">
      <c r="A52" s="190"/>
      <c r="B52" s="191" t="s">
        <v>870</v>
      </c>
      <c r="C52" s="192"/>
      <c r="D52" s="193"/>
      <c r="E52" s="194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6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9:D49"/>
    <mergeCell ref="B50:D50"/>
    <mergeCell ref="B51:D51"/>
    <mergeCell ref="B52:D52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221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201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41.0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1236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COUNTIF(F29:T29,"P")</f>
        <v>4</v>
      </c>
      <c r="B7" s="130"/>
      <c r="C7" s="131">
        <f>COUNTIF(F29:T29,"F")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COUNTIF(F28:T28,"N")</f>
        <v>3</v>
      </c>
      <c r="M7" s="132">
        <f>COUNTIF(F28:T28,"A")</f>
        <v>0</v>
      </c>
      <c r="N7" s="132">
        <f>COUNTIF(F28:T28,"B")</f>
        <v>1</v>
      </c>
      <c r="O7" s="133">
        <f>COUNTA(F9:T9)</f>
        <v>4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1266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1269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1271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1272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 t="s">
        <v>768</v>
      </c>
      <c r="C15" s="150"/>
      <c r="D15" s="151"/>
      <c r="E15" s="145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1275</v>
      </c>
      <c r="E16" s="145"/>
      <c r="F16" s="152" t="s">
        <v>742</v>
      </c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1235</v>
      </c>
      <c r="E17" s="145"/>
      <c r="F17" s="152"/>
      <c r="G17" s="152" t="s">
        <v>742</v>
      </c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1237</v>
      </c>
      <c r="E18" s="145"/>
      <c r="F18" s="152"/>
      <c r="G18" s="152"/>
      <c r="H18" s="152" t="s">
        <v>742</v>
      </c>
      <c r="I18" s="152" t="s">
        <v>742</v>
      </c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54"/>
      <c r="C19" s="155"/>
      <c r="D19" s="156"/>
      <c r="E19" s="15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9"/>
    </row>
    <row r="20" ht="13.5" customHeight="1">
      <c r="A20" s="160" t="s">
        <v>802</v>
      </c>
      <c r="B20" s="161" t="s">
        <v>804</v>
      </c>
      <c r="C20" s="162"/>
      <c r="D20" s="163"/>
      <c r="E20" s="164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7"/>
    </row>
    <row r="21" ht="13.5" customHeight="1">
      <c r="A21" s="165"/>
      <c r="B21" s="166"/>
      <c r="C21" s="167"/>
      <c r="D21" s="168" t="s">
        <v>1277</v>
      </c>
      <c r="E21" s="169"/>
      <c r="F21" s="152" t="s">
        <v>742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65"/>
      <c r="B22" s="166"/>
      <c r="C22" s="167"/>
      <c r="D22" s="168" t="s">
        <v>1278</v>
      </c>
      <c r="E22" s="169"/>
      <c r="F22" s="152"/>
      <c r="G22" s="152" t="s">
        <v>742</v>
      </c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65"/>
      <c r="B23" s="166"/>
      <c r="C23" s="167"/>
      <c r="D23" s="168" t="s">
        <v>1279</v>
      </c>
      <c r="E23" s="169"/>
      <c r="F23" s="152"/>
      <c r="G23" s="152"/>
      <c r="H23" s="152" t="s">
        <v>742</v>
      </c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65"/>
      <c r="B24" s="166"/>
      <c r="C24" s="167"/>
      <c r="D24" s="168" t="s">
        <v>1280</v>
      </c>
      <c r="E24" s="169"/>
      <c r="F24" s="152"/>
      <c r="G24" s="152"/>
      <c r="H24" s="152"/>
      <c r="I24" s="152" t="s">
        <v>742</v>
      </c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65"/>
      <c r="B25" s="166" t="s">
        <v>825</v>
      </c>
      <c r="C25" s="167"/>
      <c r="D25" s="168"/>
      <c r="E25" s="169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65"/>
      <c r="B26" s="166" t="s">
        <v>854</v>
      </c>
      <c r="C26" s="167"/>
      <c r="D26" s="168"/>
      <c r="E26" s="169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65"/>
      <c r="B27" s="170"/>
      <c r="C27" s="171"/>
      <c r="D27" s="172"/>
      <c r="E27" s="173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5"/>
    </row>
    <row r="28" ht="13.5" customHeight="1">
      <c r="A28" s="160" t="s">
        <v>865</v>
      </c>
      <c r="B28" s="176" t="s">
        <v>866</v>
      </c>
      <c r="C28" s="177"/>
      <c r="D28" s="178"/>
      <c r="E28" s="179"/>
      <c r="F28" s="180" t="s">
        <v>54</v>
      </c>
      <c r="G28" s="180" t="s">
        <v>54</v>
      </c>
      <c r="H28" s="180" t="s">
        <v>57</v>
      </c>
      <c r="I28" s="180" t="s">
        <v>54</v>
      </c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</row>
    <row r="29" ht="13.5" customHeight="1">
      <c r="A29" s="165"/>
      <c r="B29" s="182" t="s">
        <v>867</v>
      </c>
      <c r="C29" s="27"/>
      <c r="D29" s="25"/>
      <c r="E29" s="183"/>
      <c r="F29" s="184" t="s">
        <v>868</v>
      </c>
      <c r="G29" s="184" t="s">
        <v>868</v>
      </c>
      <c r="H29" s="184" t="s">
        <v>868</v>
      </c>
      <c r="I29" s="184" t="s">
        <v>868</v>
      </c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5"/>
    </row>
    <row r="30" ht="99.75" customHeight="1">
      <c r="A30" s="165"/>
      <c r="B30" s="186" t="s">
        <v>869</v>
      </c>
      <c r="C30" s="27"/>
      <c r="D30" s="25"/>
      <c r="E30" s="169"/>
      <c r="F30" s="187">
        <v>46227.0</v>
      </c>
      <c r="G30" s="187">
        <v>46227.0</v>
      </c>
      <c r="H30" s="187">
        <v>46227.0</v>
      </c>
      <c r="I30" s="187">
        <v>46227.0</v>
      </c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88"/>
    </row>
    <row r="31" ht="72.75" customHeight="1">
      <c r="A31" s="190"/>
      <c r="B31" s="191" t="s">
        <v>870</v>
      </c>
      <c r="C31" s="192"/>
      <c r="D31" s="193"/>
      <c r="E31" s="194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6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28:D28"/>
    <mergeCell ref="B29:D29"/>
    <mergeCell ref="B30:D30"/>
    <mergeCell ref="B31:D31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225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213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7.0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1281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COUNTIF(F26:T26,"P")</f>
        <v>3</v>
      </c>
      <c r="B7" s="130"/>
      <c r="C7" s="131">
        <f>COUNTIF(F26:T26,"F")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COUNTIF(F25:T25,"N")</f>
        <v>2</v>
      </c>
      <c r="M7" s="132">
        <f>COUNTIF(F25:T25,"A")</f>
        <v>1</v>
      </c>
      <c r="N7" s="132">
        <f>COUNTIF(F25:T25,"B")</f>
        <v>0</v>
      </c>
      <c r="O7" s="133">
        <f>COUNTA(F9:T9)</f>
        <v>3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1282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1283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1284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 t="s">
        <v>768</v>
      </c>
      <c r="C14" s="150"/>
      <c r="D14" s="151"/>
      <c r="E14" s="145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1241</v>
      </c>
      <c r="E15" s="145"/>
      <c r="F15" s="152" t="s">
        <v>742</v>
      </c>
      <c r="G15" s="152" t="s">
        <v>742</v>
      </c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1026</v>
      </c>
      <c r="E16" s="145"/>
      <c r="F16" s="152"/>
      <c r="G16" s="152"/>
      <c r="H16" s="152" t="s">
        <v>742</v>
      </c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54"/>
      <c r="C17" s="155"/>
      <c r="D17" s="156"/>
      <c r="E17" s="157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9"/>
    </row>
    <row r="18" ht="13.5" customHeight="1">
      <c r="A18" s="160" t="s">
        <v>802</v>
      </c>
      <c r="B18" s="161" t="s">
        <v>804</v>
      </c>
      <c r="C18" s="162"/>
      <c r="D18" s="163"/>
      <c r="E18" s="164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7"/>
    </row>
    <row r="19" ht="13.5" customHeight="1">
      <c r="A19" s="165"/>
      <c r="B19" s="166"/>
      <c r="C19" s="167"/>
      <c r="D19" s="168" t="s">
        <v>1285</v>
      </c>
      <c r="E19" s="169"/>
      <c r="F19" s="152" t="s">
        <v>742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65"/>
      <c r="B20" s="166"/>
      <c r="C20" s="167"/>
      <c r="D20" s="168" t="s">
        <v>1286</v>
      </c>
      <c r="E20" s="169"/>
      <c r="F20" s="152"/>
      <c r="G20" s="152" t="s">
        <v>742</v>
      </c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65"/>
      <c r="B21" s="166" t="s">
        <v>825</v>
      </c>
      <c r="C21" s="167"/>
      <c r="D21" s="168"/>
      <c r="E21" s="169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65"/>
      <c r="B22" s="166"/>
      <c r="C22" s="167"/>
      <c r="D22" s="168" t="s">
        <v>1287</v>
      </c>
      <c r="E22" s="169"/>
      <c r="F22" s="152"/>
      <c r="G22" s="152"/>
      <c r="H22" s="152" t="s">
        <v>742</v>
      </c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65"/>
      <c r="B23" s="166" t="s">
        <v>854</v>
      </c>
      <c r="C23" s="167"/>
      <c r="D23" s="168"/>
      <c r="E23" s="169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65"/>
      <c r="B24" s="170"/>
      <c r="C24" s="171"/>
      <c r="D24" s="172"/>
      <c r="E24" s="173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5"/>
    </row>
    <row r="25" ht="13.5" customHeight="1">
      <c r="A25" s="160" t="s">
        <v>865</v>
      </c>
      <c r="B25" s="176" t="s">
        <v>866</v>
      </c>
      <c r="C25" s="177"/>
      <c r="D25" s="178"/>
      <c r="E25" s="179"/>
      <c r="F25" s="180" t="s">
        <v>54</v>
      </c>
      <c r="G25" s="180" t="s">
        <v>54</v>
      </c>
      <c r="H25" s="180" t="s">
        <v>55</v>
      </c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1"/>
    </row>
    <row r="26" ht="13.5" customHeight="1">
      <c r="A26" s="165"/>
      <c r="B26" s="182" t="s">
        <v>867</v>
      </c>
      <c r="C26" s="27"/>
      <c r="D26" s="25"/>
      <c r="E26" s="183"/>
      <c r="F26" s="184" t="s">
        <v>868</v>
      </c>
      <c r="G26" s="184" t="s">
        <v>868</v>
      </c>
      <c r="H26" s="184" t="s">
        <v>868</v>
      </c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5"/>
    </row>
    <row r="27" ht="99.75" customHeight="1">
      <c r="A27" s="165"/>
      <c r="B27" s="186" t="s">
        <v>869</v>
      </c>
      <c r="C27" s="27"/>
      <c r="D27" s="25"/>
      <c r="E27" s="169"/>
      <c r="F27" s="187">
        <v>46252.0</v>
      </c>
      <c r="G27" s="187">
        <v>46252.0</v>
      </c>
      <c r="H27" s="187">
        <v>46252.0</v>
      </c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88"/>
    </row>
    <row r="28" ht="72.75" customHeight="1">
      <c r="A28" s="190"/>
      <c r="B28" s="191" t="s">
        <v>870</v>
      </c>
      <c r="C28" s="192"/>
      <c r="D28" s="193"/>
      <c r="E28" s="194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6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25:D25"/>
    <mergeCell ref="B26:D26"/>
    <mergeCell ref="B27:D27"/>
    <mergeCell ref="B28:D28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228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222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12.0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1288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COUNTIF(F30:T30,"P")</f>
        <v>4</v>
      </c>
      <c r="B7" s="130"/>
      <c r="C7" s="131">
        <f>COUNTIF(F30:T30,"F")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COUNTIF(F29:T29,"N")</f>
        <v>2</v>
      </c>
      <c r="M7" s="132">
        <f>COUNTIF(F29:T29,"A")</f>
        <v>2</v>
      </c>
      <c r="N7" s="132">
        <f>COUNTIF(F29:T29,"B")</f>
        <v>0</v>
      </c>
      <c r="O7" s="133">
        <f>COUNTA(F9:T9)</f>
        <v>4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1289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1290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1291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1284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 t="s">
        <v>768</v>
      </c>
      <c r="C15" s="150"/>
      <c r="D15" s="151"/>
      <c r="E15" s="145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1293</v>
      </c>
      <c r="E16" s="145"/>
      <c r="F16" s="152" t="s">
        <v>742</v>
      </c>
      <c r="G16" s="152"/>
      <c r="H16" s="152" t="s">
        <v>742</v>
      </c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1294</v>
      </c>
      <c r="E17" s="145"/>
      <c r="F17" s="152"/>
      <c r="G17" s="152" t="s">
        <v>742</v>
      </c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1295</v>
      </c>
      <c r="E18" s="145"/>
      <c r="F18" s="152"/>
      <c r="G18" s="152"/>
      <c r="H18" s="152"/>
      <c r="I18" s="152" t="s">
        <v>742</v>
      </c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54"/>
      <c r="C19" s="155"/>
      <c r="D19" s="156"/>
      <c r="E19" s="157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9"/>
    </row>
    <row r="20" ht="13.5" customHeight="1">
      <c r="A20" s="160" t="s">
        <v>802</v>
      </c>
      <c r="B20" s="161" t="s">
        <v>804</v>
      </c>
      <c r="C20" s="162"/>
      <c r="D20" s="163"/>
      <c r="E20" s="164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7"/>
    </row>
    <row r="21" ht="13.5" customHeight="1">
      <c r="A21" s="165"/>
      <c r="B21" s="166"/>
      <c r="C21" s="167"/>
      <c r="D21" s="168" t="s">
        <v>1296</v>
      </c>
      <c r="E21" s="169"/>
      <c r="F21" s="152" t="s">
        <v>742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65"/>
      <c r="B22" s="166"/>
      <c r="C22" s="167"/>
      <c r="D22" s="168" t="s">
        <v>1297</v>
      </c>
      <c r="E22" s="169"/>
      <c r="F22" s="152"/>
      <c r="G22" s="152" t="s">
        <v>742</v>
      </c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65"/>
      <c r="B23" s="166" t="s">
        <v>825</v>
      </c>
      <c r="C23" s="167"/>
      <c r="D23" s="168"/>
      <c r="E23" s="169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65"/>
      <c r="B24" s="166"/>
      <c r="C24" s="167"/>
      <c r="D24" s="168" t="s">
        <v>1298</v>
      </c>
      <c r="E24" s="169"/>
      <c r="F24" s="152"/>
      <c r="G24" s="152"/>
      <c r="H24" s="152" t="s">
        <v>742</v>
      </c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65"/>
      <c r="B25" s="166"/>
      <c r="C25" s="167"/>
      <c r="D25" s="168" t="s">
        <v>1287</v>
      </c>
      <c r="E25" s="169"/>
      <c r="F25" s="152"/>
      <c r="G25" s="152"/>
      <c r="H25" s="152"/>
      <c r="I25" s="152" t="s">
        <v>742</v>
      </c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65"/>
      <c r="B26" s="166" t="s">
        <v>854</v>
      </c>
      <c r="C26" s="167"/>
      <c r="D26" s="168"/>
      <c r="E26" s="169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65"/>
      <c r="B27" s="166"/>
      <c r="C27" s="167"/>
      <c r="D27" s="168" t="s">
        <v>1300</v>
      </c>
      <c r="E27" s="169"/>
      <c r="F27" s="152" t="s">
        <v>742</v>
      </c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65"/>
      <c r="B28" s="170"/>
      <c r="C28" s="171"/>
      <c r="D28" s="172"/>
      <c r="E28" s="173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5"/>
    </row>
    <row r="29" ht="13.5" customHeight="1">
      <c r="A29" s="160" t="s">
        <v>865</v>
      </c>
      <c r="B29" s="176" t="s">
        <v>866</v>
      </c>
      <c r="C29" s="177"/>
      <c r="D29" s="178"/>
      <c r="E29" s="179"/>
      <c r="F29" s="180" t="s">
        <v>54</v>
      </c>
      <c r="G29" s="180" t="s">
        <v>54</v>
      </c>
      <c r="H29" s="180" t="s">
        <v>55</v>
      </c>
      <c r="I29" s="180" t="s">
        <v>55</v>
      </c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1"/>
    </row>
    <row r="30" ht="13.5" customHeight="1">
      <c r="A30" s="165"/>
      <c r="B30" s="182" t="s">
        <v>867</v>
      </c>
      <c r="C30" s="27"/>
      <c r="D30" s="25"/>
      <c r="E30" s="183"/>
      <c r="F30" s="184" t="s">
        <v>868</v>
      </c>
      <c r="G30" s="184" t="s">
        <v>868</v>
      </c>
      <c r="H30" s="184" t="s">
        <v>868</v>
      </c>
      <c r="I30" s="184" t="s">
        <v>868</v>
      </c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5"/>
    </row>
    <row r="31" ht="99.75" customHeight="1">
      <c r="A31" s="165"/>
      <c r="B31" s="186" t="s">
        <v>869</v>
      </c>
      <c r="C31" s="27"/>
      <c r="D31" s="25"/>
      <c r="E31" s="169"/>
      <c r="F31" s="187">
        <v>46273.0</v>
      </c>
      <c r="G31" s="187">
        <v>46273.0</v>
      </c>
      <c r="H31" s="187">
        <v>46273.0</v>
      </c>
      <c r="I31" s="187">
        <v>46273.0</v>
      </c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88"/>
    </row>
    <row r="32" ht="72.75" customHeight="1">
      <c r="A32" s="190"/>
      <c r="B32" s="191" t="s">
        <v>870</v>
      </c>
      <c r="C32" s="192"/>
      <c r="D32" s="193"/>
      <c r="E32" s="194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29:D29"/>
    <mergeCell ref="B30:D30"/>
    <mergeCell ref="B31:D31"/>
    <mergeCell ref="B32:D32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232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233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62.0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1292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COUNTIF(F53:T53,"P")</f>
        <v>12</v>
      </c>
      <c r="B7" s="130"/>
      <c r="C7" s="131">
        <f>COUNTIF(F53:T53,"F")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COUNTIF(F52:T52,"N")</f>
        <v>5</v>
      </c>
      <c r="M7" s="132">
        <f>COUNTIF(F52:T52,"A")</f>
        <v>5</v>
      </c>
      <c r="N7" s="132">
        <f>COUNTIF(F52:T52,"B")</f>
        <v>2</v>
      </c>
      <c r="O7" s="133">
        <f>COUNTA(F9:T9)</f>
        <v>12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1301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1302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1303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1304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1305</v>
      </c>
      <c r="E15" s="145"/>
      <c r="F15" s="152"/>
      <c r="G15" s="152"/>
      <c r="H15" s="152"/>
      <c r="I15" s="152"/>
      <c r="J15" s="152" t="s">
        <v>742</v>
      </c>
      <c r="K15" s="152" t="s">
        <v>742</v>
      </c>
      <c r="L15" s="152"/>
      <c r="M15" s="152"/>
      <c r="N15" s="152" t="s">
        <v>742</v>
      </c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1306</v>
      </c>
      <c r="E16" s="145"/>
      <c r="F16" s="152"/>
      <c r="G16" s="152"/>
      <c r="H16" s="152"/>
      <c r="I16" s="152"/>
      <c r="J16" s="152"/>
      <c r="K16" s="152"/>
      <c r="L16" s="152" t="s">
        <v>742</v>
      </c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1307</v>
      </c>
      <c r="E17" s="145"/>
      <c r="F17" s="152"/>
      <c r="G17" s="152"/>
      <c r="H17" s="152"/>
      <c r="I17" s="152"/>
      <c r="J17" s="152"/>
      <c r="K17" s="152"/>
      <c r="L17" s="152"/>
      <c r="M17" s="152" t="s">
        <v>742</v>
      </c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1308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 t="s">
        <v>742</v>
      </c>
      <c r="P18" s="152" t="s">
        <v>742</v>
      </c>
      <c r="Q18" s="152" t="s">
        <v>742</v>
      </c>
      <c r="R18" s="152"/>
      <c r="S18" s="152"/>
      <c r="T18" s="153"/>
    </row>
    <row r="19" ht="13.5" customHeight="1">
      <c r="A19" s="148"/>
      <c r="B19" s="149" t="s">
        <v>768</v>
      </c>
      <c r="C19" s="150"/>
      <c r="D19" s="151"/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1309</v>
      </c>
      <c r="E20" s="145"/>
      <c r="F20" s="152" t="s">
        <v>742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1310</v>
      </c>
      <c r="E21" s="145"/>
      <c r="F21" s="152"/>
      <c r="G21" s="152" t="s">
        <v>742</v>
      </c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1311</v>
      </c>
      <c r="E22" s="145"/>
      <c r="F22" s="152"/>
      <c r="G22" s="152"/>
      <c r="H22" s="152" t="s">
        <v>742</v>
      </c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1312</v>
      </c>
      <c r="E23" s="145"/>
      <c r="F23" s="152"/>
      <c r="G23" s="152"/>
      <c r="H23" s="152"/>
      <c r="I23" s="152" t="s">
        <v>742</v>
      </c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1313</v>
      </c>
      <c r="E24" s="145"/>
      <c r="F24" s="152"/>
      <c r="G24" s="152"/>
      <c r="H24" s="152"/>
      <c r="I24" s="152"/>
      <c r="J24" s="152" t="s">
        <v>742</v>
      </c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1314</v>
      </c>
      <c r="E25" s="145"/>
      <c r="F25" s="152"/>
      <c r="G25" s="152"/>
      <c r="H25" s="152"/>
      <c r="I25" s="152"/>
      <c r="J25" s="152"/>
      <c r="K25" s="152" t="s">
        <v>742</v>
      </c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1315</v>
      </c>
      <c r="E26" s="145"/>
      <c r="F26" s="152"/>
      <c r="G26" s="152"/>
      <c r="H26" s="152"/>
      <c r="I26" s="152"/>
      <c r="J26" s="152"/>
      <c r="K26" s="152"/>
      <c r="L26" s="152" t="s">
        <v>742</v>
      </c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1316</v>
      </c>
      <c r="E27" s="145"/>
      <c r="F27" s="152"/>
      <c r="G27" s="152"/>
      <c r="H27" s="152"/>
      <c r="I27" s="152"/>
      <c r="J27" s="152"/>
      <c r="K27" s="152"/>
      <c r="L27" s="152"/>
      <c r="M27" s="152" t="s">
        <v>742</v>
      </c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1318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 t="s">
        <v>742</v>
      </c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1320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 t="s">
        <v>742</v>
      </c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1322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 t="s">
        <v>742</v>
      </c>
      <c r="Q30" s="152"/>
      <c r="R30" s="152"/>
      <c r="S30" s="152"/>
      <c r="T30" s="153"/>
    </row>
    <row r="31" ht="13.5" customHeight="1">
      <c r="A31" s="148"/>
      <c r="B31" s="149"/>
      <c r="C31" s="150"/>
      <c r="D31" s="151" t="s">
        <v>1324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 t="s">
        <v>742</v>
      </c>
      <c r="R31" s="152"/>
      <c r="S31" s="152"/>
      <c r="T31" s="153"/>
    </row>
    <row r="32" ht="13.5" customHeight="1">
      <c r="A32" s="148"/>
      <c r="B32" s="154"/>
      <c r="C32" s="155"/>
      <c r="D32" s="156"/>
      <c r="E32" s="157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9"/>
    </row>
    <row r="33" ht="13.5" customHeight="1">
      <c r="A33" s="160" t="s">
        <v>802</v>
      </c>
      <c r="B33" s="161" t="s">
        <v>804</v>
      </c>
      <c r="C33" s="162"/>
      <c r="D33" s="163"/>
      <c r="E33" s="164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7"/>
    </row>
    <row r="34" ht="13.5" customHeight="1">
      <c r="A34" s="165"/>
      <c r="B34" s="166"/>
      <c r="C34" s="167"/>
      <c r="D34" s="168" t="s">
        <v>1329</v>
      </c>
      <c r="E34" s="169"/>
      <c r="F34" s="152" t="s">
        <v>742</v>
      </c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1332</v>
      </c>
      <c r="E35" s="169"/>
      <c r="F35" s="152"/>
      <c r="G35" s="152" t="s">
        <v>742</v>
      </c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1334</v>
      </c>
      <c r="E36" s="169"/>
      <c r="F36" s="152"/>
      <c r="G36" s="152"/>
      <c r="H36" s="152" t="s">
        <v>742</v>
      </c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1336</v>
      </c>
      <c r="E37" s="169"/>
      <c r="F37" s="152"/>
      <c r="G37" s="152"/>
      <c r="H37" s="152"/>
      <c r="I37" s="152" t="s">
        <v>742</v>
      </c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1337</v>
      </c>
      <c r="E38" s="169"/>
      <c r="F38" s="152"/>
      <c r="G38" s="152"/>
      <c r="H38" s="152"/>
      <c r="I38" s="152" t="s">
        <v>742</v>
      </c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1338</v>
      </c>
      <c r="E39" s="169"/>
      <c r="F39" s="152"/>
      <c r="G39" s="152"/>
      <c r="H39" s="152"/>
      <c r="I39" s="152"/>
      <c r="J39" s="152" t="s">
        <v>742</v>
      </c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1339</v>
      </c>
      <c r="E40" s="169"/>
      <c r="F40" s="152"/>
      <c r="G40" s="152"/>
      <c r="H40" s="152"/>
      <c r="I40" s="152"/>
      <c r="J40" s="152" t="s">
        <v>742</v>
      </c>
      <c r="K40" s="152"/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1340</v>
      </c>
      <c r="E41" s="169"/>
      <c r="F41" s="152"/>
      <c r="G41" s="152"/>
      <c r="H41" s="152"/>
      <c r="I41" s="152"/>
      <c r="J41" s="152"/>
      <c r="K41" s="152" t="s">
        <v>742</v>
      </c>
      <c r="L41" s="152"/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817</v>
      </c>
      <c r="E42" s="169"/>
      <c r="F42" s="152"/>
      <c r="G42" s="152"/>
      <c r="H42" s="152"/>
      <c r="I42" s="152"/>
      <c r="J42" s="152"/>
      <c r="K42" s="152"/>
      <c r="L42" s="152"/>
      <c r="M42" s="152"/>
      <c r="N42" s="152"/>
      <c r="O42" s="152" t="s">
        <v>742</v>
      </c>
      <c r="P42" s="152"/>
      <c r="Q42" s="152"/>
      <c r="R42" s="152"/>
      <c r="S42" s="152"/>
      <c r="T42" s="153"/>
    </row>
    <row r="43" ht="13.5" customHeight="1">
      <c r="A43" s="165"/>
      <c r="B43" s="166" t="s">
        <v>825</v>
      </c>
      <c r="C43" s="167"/>
      <c r="D43" s="168"/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1343</v>
      </c>
      <c r="E44" s="169"/>
      <c r="F44" s="152"/>
      <c r="G44" s="152"/>
      <c r="H44" s="152"/>
      <c r="I44" s="152"/>
      <c r="J44" s="152"/>
      <c r="K44" s="152"/>
      <c r="L44" s="152" t="s">
        <v>742</v>
      </c>
      <c r="M44" s="152"/>
      <c r="N44" s="152"/>
      <c r="O44" s="152"/>
      <c r="P44" s="152"/>
      <c r="Q44" s="152"/>
      <c r="R44" s="152"/>
      <c r="S44" s="152"/>
      <c r="T44" s="153"/>
    </row>
    <row r="45" ht="13.5" customHeight="1">
      <c r="A45" s="165"/>
      <c r="B45" s="166"/>
      <c r="C45" s="167"/>
      <c r="D45" s="168" t="s">
        <v>1345</v>
      </c>
      <c r="E45" s="169"/>
      <c r="F45" s="152"/>
      <c r="G45" s="152"/>
      <c r="H45" s="152"/>
      <c r="I45" s="152"/>
      <c r="J45" s="152"/>
      <c r="K45" s="152"/>
      <c r="L45" s="152"/>
      <c r="M45" s="152" t="s">
        <v>742</v>
      </c>
      <c r="N45" s="152"/>
      <c r="O45" s="152"/>
      <c r="P45" s="152"/>
      <c r="Q45" s="152"/>
      <c r="R45" s="152"/>
      <c r="S45" s="152"/>
      <c r="T45" s="153"/>
    </row>
    <row r="46" ht="13.5" customHeight="1">
      <c r="A46" s="165"/>
      <c r="B46" s="166"/>
      <c r="C46" s="167"/>
      <c r="D46" s="168" t="s">
        <v>1347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 t="s">
        <v>742</v>
      </c>
      <c r="O46" s="152"/>
      <c r="P46" s="152"/>
      <c r="Q46" s="152"/>
      <c r="R46" s="152"/>
      <c r="S46" s="152"/>
      <c r="T46" s="153"/>
    </row>
    <row r="47" ht="13.5" customHeight="1">
      <c r="A47" s="165"/>
      <c r="B47" s="166"/>
      <c r="C47" s="167"/>
      <c r="D47" s="168" t="s">
        <v>1348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 t="s">
        <v>742</v>
      </c>
      <c r="Q47" s="152"/>
      <c r="R47" s="152"/>
      <c r="S47" s="152"/>
      <c r="T47" s="153"/>
    </row>
    <row r="48" ht="13.5" customHeight="1">
      <c r="A48" s="165"/>
      <c r="B48" s="166"/>
      <c r="C48" s="167"/>
      <c r="D48" s="168" t="s">
        <v>1349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 t="s">
        <v>742</v>
      </c>
      <c r="R48" s="152"/>
      <c r="S48" s="152"/>
      <c r="T48" s="153"/>
    </row>
    <row r="49" ht="13.5" customHeight="1">
      <c r="A49" s="165"/>
      <c r="B49" s="166" t="s">
        <v>854</v>
      </c>
      <c r="C49" s="167"/>
      <c r="D49" s="168"/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3"/>
    </row>
    <row r="50" ht="13.5" customHeight="1">
      <c r="A50" s="165"/>
      <c r="B50" s="166"/>
      <c r="C50" s="167"/>
      <c r="D50" s="168" t="s">
        <v>1350</v>
      </c>
      <c r="E50" s="169"/>
      <c r="F50" s="152"/>
      <c r="G50" s="152"/>
      <c r="H50" s="152"/>
      <c r="I50" s="152" t="s">
        <v>742</v>
      </c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3"/>
    </row>
    <row r="51" ht="13.5" customHeight="1">
      <c r="A51" s="165"/>
      <c r="B51" s="170"/>
      <c r="C51" s="171"/>
      <c r="D51" s="172"/>
      <c r="E51" s="173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5"/>
    </row>
    <row r="52" ht="13.5" customHeight="1">
      <c r="A52" s="160" t="s">
        <v>865</v>
      </c>
      <c r="B52" s="176" t="s">
        <v>866</v>
      </c>
      <c r="C52" s="177"/>
      <c r="D52" s="178"/>
      <c r="E52" s="179"/>
      <c r="F52" s="180" t="s">
        <v>54</v>
      </c>
      <c r="G52" s="180" t="s">
        <v>54</v>
      </c>
      <c r="H52" s="180" t="s">
        <v>55</v>
      </c>
      <c r="I52" s="180" t="s">
        <v>54</v>
      </c>
      <c r="J52" s="180" t="s">
        <v>54</v>
      </c>
      <c r="K52" s="180" t="s">
        <v>54</v>
      </c>
      <c r="L52" s="180" t="s">
        <v>55</v>
      </c>
      <c r="M52" s="180" t="s">
        <v>55</v>
      </c>
      <c r="N52" s="180" t="s">
        <v>55</v>
      </c>
      <c r="O52" s="180" t="s">
        <v>57</v>
      </c>
      <c r="P52" s="180" t="s">
        <v>57</v>
      </c>
      <c r="Q52" s="180" t="s">
        <v>55</v>
      </c>
      <c r="R52" s="180"/>
      <c r="S52" s="180"/>
      <c r="T52" s="181"/>
    </row>
    <row r="53" ht="13.5" customHeight="1">
      <c r="A53" s="165"/>
      <c r="B53" s="182" t="s">
        <v>867</v>
      </c>
      <c r="C53" s="27"/>
      <c r="D53" s="25"/>
      <c r="E53" s="183"/>
      <c r="F53" s="184" t="s">
        <v>868</v>
      </c>
      <c r="G53" s="184" t="s">
        <v>868</v>
      </c>
      <c r="H53" s="184" t="s">
        <v>868</v>
      </c>
      <c r="I53" s="184" t="s">
        <v>868</v>
      </c>
      <c r="J53" s="184" t="s">
        <v>868</v>
      </c>
      <c r="K53" s="184" t="s">
        <v>868</v>
      </c>
      <c r="L53" s="184" t="s">
        <v>868</v>
      </c>
      <c r="M53" s="184" t="s">
        <v>868</v>
      </c>
      <c r="N53" s="184" t="s">
        <v>868</v>
      </c>
      <c r="O53" s="184" t="s">
        <v>868</v>
      </c>
      <c r="P53" s="184" t="s">
        <v>868</v>
      </c>
      <c r="Q53" s="184" t="s">
        <v>868</v>
      </c>
      <c r="R53" s="184"/>
      <c r="S53" s="184"/>
      <c r="T53" s="185"/>
    </row>
    <row r="54" ht="99.75" customHeight="1">
      <c r="A54" s="165"/>
      <c r="B54" s="186" t="s">
        <v>869</v>
      </c>
      <c r="C54" s="27"/>
      <c r="D54" s="25"/>
      <c r="E54" s="169"/>
      <c r="F54" s="187">
        <v>46210.0</v>
      </c>
      <c r="G54" s="187">
        <v>46210.0</v>
      </c>
      <c r="H54" s="187">
        <v>46210.0</v>
      </c>
      <c r="I54" s="187">
        <v>46210.0</v>
      </c>
      <c r="J54" s="187">
        <v>46210.0</v>
      </c>
      <c r="K54" s="187">
        <v>46210.0</v>
      </c>
      <c r="L54" s="187">
        <v>46210.0</v>
      </c>
      <c r="M54" s="187">
        <v>46210.0</v>
      </c>
      <c r="N54" s="187">
        <v>46210.0</v>
      </c>
      <c r="O54" s="187">
        <v>46210.0</v>
      </c>
      <c r="P54" s="187">
        <v>46210.0</v>
      </c>
      <c r="Q54" s="187">
        <v>46210.0</v>
      </c>
      <c r="R54" s="197"/>
      <c r="S54" s="197"/>
      <c r="T54" s="188"/>
    </row>
    <row r="55" ht="72.75" customHeight="1">
      <c r="A55" s="190"/>
      <c r="B55" s="191" t="s">
        <v>870</v>
      </c>
      <c r="C55" s="192"/>
      <c r="D55" s="193"/>
      <c r="E55" s="194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6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52:D52"/>
    <mergeCell ref="B53:D53"/>
    <mergeCell ref="B54:D54"/>
    <mergeCell ref="B55:D55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239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242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42.0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1299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COUNTIF(F37:T37,"P")</f>
        <v>7</v>
      </c>
      <c r="B7" s="130"/>
      <c r="C7" s="131">
        <f>COUNTIF(F37:T37,"F")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COUNTIF(F36:T36,"N")</f>
        <v>4</v>
      </c>
      <c r="M7" s="132">
        <f>COUNTIF(F36:T36,"A")</f>
        <v>3</v>
      </c>
      <c r="N7" s="132">
        <f>COUNTIF(F36:T36,"B")</f>
        <v>0</v>
      </c>
      <c r="O7" s="133">
        <f>COUNTA(F9:T9)</f>
        <v>7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/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1317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1319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1321</v>
      </c>
      <c r="E13" s="145"/>
      <c r="F13" s="152"/>
      <c r="G13" s="152"/>
      <c r="H13" s="152" t="s">
        <v>742</v>
      </c>
      <c r="I13" s="152" t="s">
        <v>742</v>
      </c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1323</v>
      </c>
      <c r="E14" s="145"/>
      <c r="F14" s="152"/>
      <c r="G14" s="152"/>
      <c r="H14" s="152"/>
      <c r="I14" s="152"/>
      <c r="J14" s="152" t="s">
        <v>742</v>
      </c>
      <c r="K14" s="152" t="s">
        <v>742</v>
      </c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1325</v>
      </c>
      <c r="E15" s="145"/>
      <c r="F15" s="152"/>
      <c r="G15" s="152"/>
      <c r="H15" s="152"/>
      <c r="I15" s="152"/>
      <c r="J15" s="152"/>
      <c r="K15" s="152"/>
      <c r="L15" s="152" t="s">
        <v>742</v>
      </c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 t="s">
        <v>768</v>
      </c>
      <c r="C16" s="150"/>
      <c r="D16" s="151"/>
      <c r="E16" s="145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1326</v>
      </c>
      <c r="E17" s="145"/>
      <c r="F17" s="152" t="s">
        <v>742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1327</v>
      </c>
      <c r="E18" s="145"/>
      <c r="F18" s="152"/>
      <c r="G18" s="152" t="s">
        <v>742</v>
      </c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1328</v>
      </c>
      <c r="E19" s="145"/>
      <c r="F19" s="152"/>
      <c r="G19" s="152"/>
      <c r="H19" s="152" t="s">
        <v>742</v>
      </c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1330</v>
      </c>
      <c r="E20" s="145"/>
      <c r="F20" s="152"/>
      <c r="G20" s="152"/>
      <c r="H20" s="152"/>
      <c r="I20" s="152" t="s">
        <v>742</v>
      </c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1331</v>
      </c>
      <c r="E21" s="145"/>
      <c r="F21" s="152"/>
      <c r="G21" s="152"/>
      <c r="H21" s="152"/>
      <c r="I21" s="152"/>
      <c r="J21" s="152" t="s">
        <v>742</v>
      </c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1333</v>
      </c>
      <c r="E22" s="145"/>
      <c r="F22" s="152"/>
      <c r="G22" s="152"/>
      <c r="H22" s="152"/>
      <c r="I22" s="152"/>
      <c r="J22" s="152"/>
      <c r="K22" s="152" t="s">
        <v>742</v>
      </c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1335</v>
      </c>
      <c r="E23" s="145"/>
      <c r="F23" s="152"/>
      <c r="G23" s="152"/>
      <c r="H23" s="152"/>
      <c r="I23" s="152"/>
      <c r="J23" s="152"/>
      <c r="K23" s="152"/>
      <c r="L23" s="152" t="s">
        <v>742</v>
      </c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54"/>
      <c r="C24" s="155"/>
      <c r="D24" s="156"/>
      <c r="E24" s="157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9"/>
    </row>
    <row r="25" ht="13.5" customHeight="1">
      <c r="A25" s="160" t="s">
        <v>802</v>
      </c>
      <c r="B25" s="161" t="s">
        <v>804</v>
      </c>
      <c r="C25" s="162"/>
      <c r="D25" s="163"/>
      <c r="E25" s="164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7"/>
    </row>
    <row r="26" ht="13.5" customHeight="1">
      <c r="A26" s="165"/>
      <c r="B26" s="166"/>
      <c r="C26" s="167"/>
      <c r="D26" s="168" t="s">
        <v>1341</v>
      </c>
      <c r="E26" s="169"/>
      <c r="F26" s="152" t="s">
        <v>742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65"/>
      <c r="B27" s="166"/>
      <c r="C27" s="167"/>
      <c r="D27" s="168" t="s">
        <v>1342</v>
      </c>
      <c r="E27" s="169"/>
      <c r="F27" s="152"/>
      <c r="G27" s="152" t="s">
        <v>742</v>
      </c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65"/>
      <c r="B28" s="166"/>
      <c r="C28" s="167"/>
      <c r="D28" s="168" t="s">
        <v>1344</v>
      </c>
      <c r="E28" s="169"/>
      <c r="F28" s="152"/>
      <c r="G28" s="152"/>
      <c r="H28" s="152" t="s">
        <v>742</v>
      </c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66"/>
      <c r="C29" s="167"/>
      <c r="D29" s="168" t="s">
        <v>1346</v>
      </c>
      <c r="E29" s="169"/>
      <c r="F29" s="152"/>
      <c r="G29" s="152"/>
      <c r="H29" s="152"/>
      <c r="I29" s="152" t="s">
        <v>742</v>
      </c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 t="s">
        <v>825</v>
      </c>
      <c r="C30" s="167"/>
      <c r="D30" s="168"/>
      <c r="E30" s="169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65"/>
      <c r="B31" s="166"/>
      <c r="C31" s="167"/>
      <c r="D31" s="168" t="s">
        <v>1351</v>
      </c>
      <c r="E31" s="169"/>
      <c r="F31" s="152"/>
      <c r="G31" s="152"/>
      <c r="H31" s="152"/>
      <c r="I31" s="152"/>
      <c r="J31" s="152" t="s">
        <v>742</v>
      </c>
      <c r="K31" s="152"/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/>
      <c r="C32" s="167"/>
      <c r="D32" s="168" t="s">
        <v>1352</v>
      </c>
      <c r="E32" s="169"/>
      <c r="F32" s="152"/>
      <c r="G32" s="152"/>
      <c r="H32" s="152"/>
      <c r="I32" s="152"/>
      <c r="J32" s="152"/>
      <c r="K32" s="152" t="s">
        <v>742</v>
      </c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1353</v>
      </c>
      <c r="E33" s="169"/>
      <c r="F33" s="152"/>
      <c r="G33" s="152"/>
      <c r="H33" s="152"/>
      <c r="I33" s="152"/>
      <c r="J33" s="152"/>
      <c r="K33" s="152"/>
      <c r="L33" s="152" t="s">
        <v>742</v>
      </c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 t="s">
        <v>854</v>
      </c>
      <c r="C34" s="167"/>
      <c r="D34" s="168"/>
      <c r="E34" s="169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70"/>
      <c r="C35" s="171"/>
      <c r="D35" s="172"/>
      <c r="E35" s="173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5"/>
    </row>
    <row r="36" ht="13.5" customHeight="1">
      <c r="A36" s="160" t="s">
        <v>865</v>
      </c>
      <c r="B36" s="176" t="s">
        <v>866</v>
      </c>
      <c r="C36" s="177"/>
      <c r="D36" s="178"/>
      <c r="E36" s="179"/>
      <c r="F36" s="180" t="s">
        <v>54</v>
      </c>
      <c r="G36" s="180" t="s">
        <v>54</v>
      </c>
      <c r="H36" s="180" t="s">
        <v>54</v>
      </c>
      <c r="I36" s="180" t="s">
        <v>54</v>
      </c>
      <c r="J36" s="180" t="s">
        <v>55</v>
      </c>
      <c r="K36" s="180" t="s">
        <v>55</v>
      </c>
      <c r="L36" s="180" t="s">
        <v>55</v>
      </c>
      <c r="M36" s="180"/>
      <c r="N36" s="180"/>
      <c r="O36" s="180"/>
      <c r="P36" s="180"/>
      <c r="Q36" s="180"/>
      <c r="R36" s="180"/>
      <c r="S36" s="180"/>
      <c r="T36" s="181"/>
    </row>
    <row r="37" ht="13.5" customHeight="1">
      <c r="A37" s="165"/>
      <c r="B37" s="182" t="s">
        <v>867</v>
      </c>
      <c r="C37" s="27"/>
      <c r="D37" s="25"/>
      <c r="E37" s="183"/>
      <c r="F37" s="184" t="s">
        <v>868</v>
      </c>
      <c r="G37" s="184" t="s">
        <v>868</v>
      </c>
      <c r="H37" s="184" t="s">
        <v>868</v>
      </c>
      <c r="I37" s="184" t="s">
        <v>868</v>
      </c>
      <c r="J37" s="184" t="s">
        <v>868</v>
      </c>
      <c r="K37" s="184" t="s">
        <v>868</v>
      </c>
      <c r="L37" s="184" t="s">
        <v>868</v>
      </c>
      <c r="M37" s="184"/>
      <c r="N37" s="184"/>
      <c r="O37" s="184"/>
      <c r="P37" s="184"/>
      <c r="Q37" s="184"/>
      <c r="R37" s="184"/>
      <c r="S37" s="184"/>
      <c r="T37" s="185"/>
    </row>
    <row r="38" ht="99.75" customHeight="1">
      <c r="A38" s="165"/>
      <c r="B38" s="186" t="s">
        <v>869</v>
      </c>
      <c r="C38" s="27"/>
      <c r="D38" s="25"/>
      <c r="E38" s="169"/>
      <c r="F38" s="187">
        <v>46265.0</v>
      </c>
      <c r="G38" s="187">
        <v>46265.0</v>
      </c>
      <c r="H38" s="187">
        <v>46265.0</v>
      </c>
      <c r="I38" s="187">
        <v>46265.0</v>
      </c>
      <c r="J38" s="187">
        <v>46265.0</v>
      </c>
      <c r="K38" s="187">
        <v>46265.0</v>
      </c>
      <c r="L38" s="187">
        <v>46265.0</v>
      </c>
      <c r="M38" s="197"/>
      <c r="N38" s="197"/>
      <c r="O38" s="197"/>
      <c r="P38" s="197"/>
      <c r="Q38" s="197"/>
      <c r="R38" s="197"/>
      <c r="S38" s="197"/>
      <c r="T38" s="188"/>
    </row>
    <row r="39" ht="72.75" customHeight="1">
      <c r="A39" s="190"/>
      <c r="B39" s="191" t="s">
        <v>870</v>
      </c>
      <c r="C39" s="192"/>
      <c r="D39" s="193"/>
      <c r="E39" s="194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6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6:D36"/>
    <mergeCell ref="B37:D37"/>
    <mergeCell ref="B38:D38"/>
    <mergeCell ref="B39:D39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34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</row>
    <row r="2" ht="13.5" customHeight="1">
      <c r="A2" s="111" t="s">
        <v>707</v>
      </c>
      <c r="B2" s="112"/>
      <c r="C2" s="113" t="s">
        <v>246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249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ht="13.5" customHeight="1">
      <c r="A4" s="117" t="s">
        <v>711</v>
      </c>
      <c r="B4" s="27"/>
      <c r="C4" s="122">
        <v>163.0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 ht="13.5" customHeight="1">
      <c r="A5" s="117" t="s">
        <v>713</v>
      </c>
      <c r="B5" s="27"/>
      <c r="C5" s="124" t="s">
        <v>1354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7" ht="13.5" customHeight="1">
      <c r="A7" s="129">
        <f>COUNTIF(F95:AH95,"P")</f>
        <v>29</v>
      </c>
      <c r="B7" s="130"/>
      <c r="C7" s="131">
        <f>COUNTIF(F95:AH95,"F")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COUNTIF(F94:AH94,"N")</f>
        <v>13</v>
      </c>
      <c r="M7" s="132">
        <f>COUNTIF(F94:AH94,"A")</f>
        <v>12</v>
      </c>
      <c r="N7" s="132">
        <f>COUNTIF(F94:AH94,"B")</f>
        <v>4</v>
      </c>
      <c r="O7" s="133">
        <f>COUNTA(F9:AH9)</f>
        <v>29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39" t="s">
        <v>736</v>
      </c>
      <c r="AA9" s="139" t="s">
        <v>737</v>
      </c>
      <c r="AB9" s="139" t="s">
        <v>738</v>
      </c>
      <c r="AC9" s="139" t="s">
        <v>876</v>
      </c>
      <c r="AD9" s="139" t="s">
        <v>1355</v>
      </c>
      <c r="AE9" s="139" t="s">
        <v>1356</v>
      </c>
      <c r="AF9" s="139" t="s">
        <v>1357</v>
      </c>
      <c r="AG9" s="139" t="s">
        <v>1358</v>
      </c>
      <c r="AH9" s="140" t="s">
        <v>1359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7"/>
    </row>
    <row r="11" ht="13.5" customHeight="1">
      <c r="A11" s="148"/>
      <c r="B11" s="149"/>
      <c r="C11" s="150"/>
      <c r="D11" s="151" t="s">
        <v>1360</v>
      </c>
      <c r="E11" s="145"/>
      <c r="F11" s="152" t="s">
        <v>742</v>
      </c>
      <c r="G11" s="152" t="s">
        <v>742</v>
      </c>
      <c r="H11" s="152" t="s">
        <v>742</v>
      </c>
      <c r="I11" s="152" t="s">
        <v>742</v>
      </c>
      <c r="J11" s="152" t="s">
        <v>742</v>
      </c>
      <c r="K11" s="152" t="s">
        <v>742</v>
      </c>
      <c r="L11" s="152"/>
      <c r="M11" s="152" t="s">
        <v>742</v>
      </c>
      <c r="N11" s="152" t="s">
        <v>742</v>
      </c>
      <c r="O11" s="152" t="s">
        <v>742</v>
      </c>
      <c r="P11" s="152" t="s">
        <v>742</v>
      </c>
      <c r="Q11" s="152" t="s">
        <v>742</v>
      </c>
      <c r="R11" s="152" t="s">
        <v>742</v>
      </c>
      <c r="S11" s="152" t="s">
        <v>742</v>
      </c>
      <c r="T11" s="152" t="s">
        <v>742</v>
      </c>
      <c r="U11" s="152" t="s">
        <v>742</v>
      </c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3"/>
    </row>
    <row r="12" ht="13.5" customHeight="1">
      <c r="A12" s="148"/>
      <c r="B12" s="149"/>
      <c r="C12" s="150"/>
      <c r="D12" s="151" t="s">
        <v>1361</v>
      </c>
      <c r="E12" s="145"/>
      <c r="F12" s="152" t="s">
        <v>742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3"/>
    </row>
    <row r="13" ht="13.5" customHeight="1">
      <c r="A13" s="148"/>
      <c r="B13" s="149"/>
      <c r="C13" s="150"/>
      <c r="D13" s="151" t="s">
        <v>1362</v>
      </c>
      <c r="E13" s="145"/>
      <c r="F13" s="152"/>
      <c r="G13" s="152" t="s">
        <v>742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3"/>
    </row>
    <row r="14" ht="13.5" customHeight="1">
      <c r="A14" s="148"/>
      <c r="B14" s="149"/>
      <c r="C14" s="150"/>
      <c r="D14" s="151" t="s">
        <v>1363</v>
      </c>
      <c r="E14" s="145"/>
      <c r="F14" s="152"/>
      <c r="G14" s="152"/>
      <c r="H14" s="152" t="s">
        <v>742</v>
      </c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3"/>
    </row>
    <row r="15" ht="13.5" customHeight="1">
      <c r="A15" s="148"/>
      <c r="B15" s="149"/>
      <c r="C15" s="150"/>
      <c r="D15" s="151" t="s">
        <v>1364</v>
      </c>
      <c r="E15" s="145"/>
      <c r="F15" s="152"/>
      <c r="G15" s="152"/>
      <c r="H15" s="152"/>
      <c r="I15" s="152"/>
      <c r="J15" s="152"/>
      <c r="K15" s="152"/>
      <c r="L15" s="152" t="s">
        <v>742</v>
      </c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3"/>
    </row>
    <row r="16" ht="13.5" customHeight="1">
      <c r="A16" s="148"/>
      <c r="B16" s="149"/>
      <c r="C16" s="150"/>
      <c r="D16" s="151" t="s">
        <v>1365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 t="s">
        <v>742</v>
      </c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3"/>
    </row>
    <row r="17" ht="13.5" customHeight="1">
      <c r="A17" s="148"/>
      <c r="B17" s="149"/>
      <c r="C17" s="150"/>
      <c r="D17" s="151" t="s">
        <v>1366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 t="s">
        <v>742</v>
      </c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3"/>
    </row>
    <row r="18" ht="13.5" customHeight="1">
      <c r="A18" s="148"/>
      <c r="B18" s="149"/>
      <c r="C18" s="150"/>
      <c r="D18" s="151" t="s">
        <v>1367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 t="s">
        <v>742</v>
      </c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3"/>
    </row>
    <row r="19" ht="13.5" customHeight="1">
      <c r="A19" s="148"/>
      <c r="B19" s="149"/>
      <c r="C19" s="150"/>
      <c r="D19" s="151" t="s">
        <v>1368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 t="s">
        <v>742</v>
      </c>
      <c r="W19" s="152"/>
      <c r="X19" s="152"/>
      <c r="Y19" s="152"/>
      <c r="Z19" s="152" t="s">
        <v>742</v>
      </c>
      <c r="AA19" s="152"/>
      <c r="AB19" s="152"/>
      <c r="AC19" s="152"/>
      <c r="AD19" s="152"/>
      <c r="AE19" s="152"/>
      <c r="AF19" s="152"/>
      <c r="AG19" s="152"/>
      <c r="AH19" s="153"/>
    </row>
    <row r="20" ht="13.5" customHeight="1">
      <c r="A20" s="148"/>
      <c r="B20" s="149"/>
      <c r="C20" s="150"/>
      <c r="D20" s="151" t="s">
        <v>1369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 t="s">
        <v>742</v>
      </c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3"/>
    </row>
    <row r="21" ht="13.5" customHeight="1">
      <c r="A21" s="148"/>
      <c r="B21" s="149"/>
      <c r="C21" s="150"/>
      <c r="D21" s="151" t="s">
        <v>1370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 t="s">
        <v>742</v>
      </c>
      <c r="Y21" s="152"/>
      <c r="Z21" s="152"/>
      <c r="AA21" s="152"/>
      <c r="AB21" s="152"/>
      <c r="AC21" s="152"/>
      <c r="AD21" s="152"/>
      <c r="AE21" s="152"/>
      <c r="AF21" s="152"/>
      <c r="AG21" s="152"/>
      <c r="AH21" s="153"/>
    </row>
    <row r="22" ht="13.5" customHeight="1">
      <c r="A22" s="148"/>
      <c r="B22" s="149"/>
      <c r="C22" s="150"/>
      <c r="D22" s="151" t="s">
        <v>1371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 t="s">
        <v>742</v>
      </c>
      <c r="Z22" s="152"/>
      <c r="AA22" s="152"/>
      <c r="AB22" s="152"/>
      <c r="AC22" s="152"/>
      <c r="AD22" s="152"/>
      <c r="AE22" s="152"/>
      <c r="AF22" s="152"/>
      <c r="AG22" s="152"/>
      <c r="AH22" s="153"/>
    </row>
    <row r="23" ht="13.5" customHeight="1">
      <c r="A23" s="148"/>
      <c r="B23" s="149"/>
      <c r="C23" s="150"/>
      <c r="D23" s="151" t="s">
        <v>1372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 t="s">
        <v>742</v>
      </c>
      <c r="AB23" s="152"/>
      <c r="AC23" s="152"/>
      <c r="AD23" s="152"/>
      <c r="AE23" s="152"/>
      <c r="AF23" s="152"/>
      <c r="AG23" s="152"/>
      <c r="AH23" s="153"/>
    </row>
    <row r="24" ht="13.5" customHeight="1">
      <c r="A24" s="148"/>
      <c r="B24" s="149"/>
      <c r="C24" s="150"/>
      <c r="D24" s="151" t="s">
        <v>1373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 t="s">
        <v>742</v>
      </c>
      <c r="AC24" s="152"/>
      <c r="AD24" s="152"/>
      <c r="AE24" s="152"/>
      <c r="AF24" s="152"/>
      <c r="AG24" s="152"/>
      <c r="AH24" s="153"/>
    </row>
    <row r="25" ht="13.5" customHeight="1">
      <c r="A25" s="148"/>
      <c r="B25" s="149"/>
      <c r="C25" s="150"/>
      <c r="D25" s="151" t="s">
        <v>1374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 t="s">
        <v>742</v>
      </c>
      <c r="AD25" s="152"/>
      <c r="AE25" s="152"/>
      <c r="AF25" s="152"/>
      <c r="AG25" s="152"/>
      <c r="AH25" s="153"/>
    </row>
    <row r="26" ht="13.5" customHeight="1">
      <c r="A26" s="148"/>
      <c r="B26" s="149"/>
      <c r="C26" s="150"/>
      <c r="D26" s="151" t="s">
        <v>1375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 t="s">
        <v>742</v>
      </c>
      <c r="AE26" s="152"/>
      <c r="AF26" s="152"/>
      <c r="AG26" s="152"/>
      <c r="AH26" s="153"/>
    </row>
    <row r="27" ht="13.5" customHeight="1">
      <c r="A27" s="148"/>
      <c r="B27" s="149"/>
      <c r="C27" s="150"/>
      <c r="D27" s="151" t="s">
        <v>1376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 t="s">
        <v>742</v>
      </c>
      <c r="AF27" s="152"/>
      <c r="AG27" s="152"/>
      <c r="AH27" s="153"/>
    </row>
    <row r="28" ht="13.5" customHeight="1">
      <c r="A28" s="148"/>
      <c r="B28" s="149"/>
      <c r="C28" s="150"/>
      <c r="D28" s="151" t="s">
        <v>1377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 t="s">
        <v>742</v>
      </c>
      <c r="AG28" s="152"/>
      <c r="AH28" s="153"/>
    </row>
    <row r="29" ht="13.5" customHeight="1">
      <c r="A29" s="148"/>
      <c r="B29" s="149"/>
      <c r="C29" s="150"/>
      <c r="D29" s="151" t="s">
        <v>1378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 t="s">
        <v>742</v>
      </c>
      <c r="AH29" s="153"/>
    </row>
    <row r="30" ht="13.5" customHeight="1">
      <c r="A30" s="148"/>
      <c r="B30" s="149"/>
      <c r="C30" s="150"/>
      <c r="D30" s="151" t="s">
        <v>1379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3" t="s">
        <v>742</v>
      </c>
    </row>
    <row r="31" ht="13.5" customHeight="1">
      <c r="A31" s="148"/>
      <c r="B31" s="149" t="s">
        <v>768</v>
      </c>
      <c r="C31" s="150"/>
      <c r="D31" s="151"/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3"/>
    </row>
    <row r="32" ht="13.5" customHeight="1">
      <c r="A32" s="148"/>
      <c r="B32" s="149"/>
      <c r="C32" s="150"/>
      <c r="D32" s="151" t="s">
        <v>1380</v>
      </c>
      <c r="E32" s="145"/>
      <c r="F32" s="152" t="s">
        <v>742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3"/>
    </row>
    <row r="33" ht="13.5" customHeight="1">
      <c r="A33" s="148"/>
      <c r="B33" s="149"/>
      <c r="C33" s="150"/>
      <c r="D33" s="151" t="s">
        <v>1381</v>
      </c>
      <c r="E33" s="145"/>
      <c r="F33" s="152"/>
      <c r="G33" s="152" t="s">
        <v>742</v>
      </c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3"/>
    </row>
    <row r="34" ht="13.5" customHeight="1">
      <c r="A34" s="148"/>
      <c r="B34" s="149"/>
      <c r="C34" s="150"/>
      <c r="D34" s="151" t="s">
        <v>1382</v>
      </c>
      <c r="E34" s="145"/>
      <c r="F34" s="152"/>
      <c r="G34" s="152"/>
      <c r="H34" s="152" t="s">
        <v>742</v>
      </c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3"/>
    </row>
    <row r="35" ht="13.5" customHeight="1">
      <c r="A35" s="148"/>
      <c r="B35" s="149"/>
      <c r="C35" s="150"/>
      <c r="D35" s="151" t="s">
        <v>1383</v>
      </c>
      <c r="E35" s="145"/>
      <c r="F35" s="152"/>
      <c r="G35" s="152"/>
      <c r="H35" s="152"/>
      <c r="I35" s="152" t="s">
        <v>742</v>
      </c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3"/>
    </row>
    <row r="36" ht="13.5" customHeight="1">
      <c r="A36" s="148"/>
      <c r="B36" s="149"/>
      <c r="C36" s="150"/>
      <c r="D36" s="151" t="s">
        <v>1385</v>
      </c>
      <c r="E36" s="145"/>
      <c r="F36" s="152"/>
      <c r="G36" s="152"/>
      <c r="H36" s="152"/>
      <c r="I36" s="152"/>
      <c r="J36" s="152" t="s">
        <v>742</v>
      </c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3"/>
    </row>
    <row r="37" ht="13.5" customHeight="1">
      <c r="A37" s="148"/>
      <c r="B37" s="149"/>
      <c r="C37" s="150"/>
      <c r="D37" s="151" t="s">
        <v>1386</v>
      </c>
      <c r="E37" s="145"/>
      <c r="F37" s="152"/>
      <c r="G37" s="152"/>
      <c r="H37" s="152"/>
      <c r="I37" s="152"/>
      <c r="J37" s="152"/>
      <c r="K37" s="152" t="s">
        <v>742</v>
      </c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3"/>
    </row>
    <row r="38" ht="13.5" customHeight="1">
      <c r="A38" s="148"/>
      <c r="B38" s="149"/>
      <c r="C38" s="150"/>
      <c r="D38" s="151" t="s">
        <v>1387</v>
      </c>
      <c r="E38" s="145"/>
      <c r="F38" s="152"/>
      <c r="G38" s="152"/>
      <c r="H38" s="152"/>
      <c r="I38" s="152"/>
      <c r="J38" s="152"/>
      <c r="K38" s="152"/>
      <c r="L38" s="152" t="s">
        <v>742</v>
      </c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3"/>
    </row>
    <row r="39" ht="13.5" customHeight="1">
      <c r="A39" s="148"/>
      <c r="B39" s="149"/>
      <c r="C39" s="150"/>
      <c r="D39" s="151" t="s">
        <v>1388</v>
      </c>
      <c r="E39" s="145"/>
      <c r="F39" s="152"/>
      <c r="G39" s="152"/>
      <c r="H39" s="152"/>
      <c r="I39" s="152"/>
      <c r="J39" s="152"/>
      <c r="K39" s="152"/>
      <c r="L39" s="152"/>
      <c r="M39" s="152" t="s">
        <v>742</v>
      </c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3"/>
    </row>
    <row r="40" ht="13.5" customHeight="1">
      <c r="A40" s="148"/>
      <c r="B40" s="149"/>
      <c r="C40" s="150"/>
      <c r="D40" s="151" t="s">
        <v>1389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 t="s">
        <v>742</v>
      </c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3"/>
    </row>
    <row r="41" ht="13.5" customHeight="1">
      <c r="A41" s="148"/>
      <c r="B41" s="149"/>
      <c r="C41" s="150"/>
      <c r="D41" s="151" t="s">
        <v>1390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 t="s">
        <v>742</v>
      </c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3"/>
    </row>
    <row r="42" ht="13.5" customHeight="1">
      <c r="A42" s="148"/>
      <c r="B42" s="149"/>
      <c r="C42" s="150"/>
      <c r="D42" s="151" t="s">
        <v>1391</v>
      </c>
      <c r="E42" s="145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 t="s">
        <v>742</v>
      </c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3"/>
    </row>
    <row r="43" ht="13.5" customHeight="1">
      <c r="A43" s="148"/>
      <c r="B43" s="149"/>
      <c r="C43" s="150"/>
      <c r="D43" s="151" t="s">
        <v>1392</v>
      </c>
      <c r="E43" s="145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 t="s">
        <v>742</v>
      </c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3"/>
    </row>
    <row r="44" ht="13.5" customHeight="1">
      <c r="A44" s="148"/>
      <c r="B44" s="149"/>
      <c r="C44" s="150"/>
      <c r="D44" s="151" t="s">
        <v>1393</v>
      </c>
      <c r="E44" s="145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 t="s">
        <v>742</v>
      </c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3"/>
    </row>
    <row r="45" ht="13.5" customHeight="1">
      <c r="A45" s="148"/>
      <c r="B45" s="149"/>
      <c r="C45" s="150"/>
      <c r="D45" s="151" t="s">
        <v>1394</v>
      </c>
      <c r="E45" s="145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 t="s">
        <v>742</v>
      </c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3"/>
    </row>
    <row r="46" ht="13.5" customHeight="1">
      <c r="A46" s="148"/>
      <c r="B46" s="149"/>
      <c r="C46" s="150"/>
      <c r="D46" s="151" t="s">
        <v>1395</v>
      </c>
      <c r="E46" s="145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 t="s">
        <v>742</v>
      </c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3"/>
    </row>
    <row r="47" ht="13.5" customHeight="1">
      <c r="A47" s="148"/>
      <c r="B47" s="149"/>
      <c r="C47" s="150"/>
      <c r="D47" s="151" t="s">
        <v>1396</v>
      </c>
      <c r="E47" s="145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 t="s">
        <v>742</v>
      </c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3"/>
    </row>
    <row r="48" ht="13.5" customHeight="1">
      <c r="A48" s="148"/>
      <c r="B48" s="149"/>
      <c r="C48" s="150"/>
      <c r="D48" s="151" t="s">
        <v>1397</v>
      </c>
      <c r="E48" s="145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 t="s">
        <v>742</v>
      </c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3"/>
    </row>
    <row r="49" ht="13.5" customHeight="1">
      <c r="A49" s="148"/>
      <c r="B49" s="149"/>
      <c r="C49" s="150"/>
      <c r="D49" s="151" t="s">
        <v>1398</v>
      </c>
      <c r="E49" s="145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 t="s">
        <v>742</v>
      </c>
      <c r="X49" s="152"/>
      <c r="Y49" s="152" t="s">
        <v>742</v>
      </c>
      <c r="Z49" s="152" t="s">
        <v>742</v>
      </c>
      <c r="AA49" s="152" t="s">
        <v>742</v>
      </c>
      <c r="AB49" s="152"/>
      <c r="AC49" s="152"/>
      <c r="AD49" s="152"/>
      <c r="AE49" s="152"/>
      <c r="AF49" s="152"/>
      <c r="AG49" s="152"/>
      <c r="AH49" s="153"/>
    </row>
    <row r="50" ht="13.5" customHeight="1">
      <c r="A50" s="148"/>
      <c r="B50" s="149"/>
      <c r="C50" s="150"/>
      <c r="D50" s="151" t="s">
        <v>1399</v>
      </c>
      <c r="E50" s="145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 t="s">
        <v>742</v>
      </c>
      <c r="Y50" s="152"/>
      <c r="Z50" s="152"/>
      <c r="AA50" s="152"/>
      <c r="AB50" s="152"/>
      <c r="AC50" s="152"/>
      <c r="AD50" s="152"/>
      <c r="AE50" s="152"/>
      <c r="AF50" s="152"/>
      <c r="AG50" s="152"/>
      <c r="AH50" s="153"/>
    </row>
    <row r="51" ht="13.5" customHeight="1">
      <c r="A51" s="148"/>
      <c r="B51" s="149"/>
      <c r="C51" s="150"/>
      <c r="D51" s="151" t="s">
        <v>255</v>
      </c>
      <c r="E51" s="145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 t="s">
        <v>742</v>
      </c>
      <c r="AC51" s="152" t="s">
        <v>742</v>
      </c>
      <c r="AD51" s="152" t="s">
        <v>742</v>
      </c>
      <c r="AE51" s="152"/>
      <c r="AF51" s="152"/>
      <c r="AG51" s="152"/>
      <c r="AH51" s="153"/>
    </row>
    <row r="52" ht="13.5" customHeight="1">
      <c r="A52" s="148"/>
      <c r="B52" s="149"/>
      <c r="C52" s="150"/>
      <c r="D52" s="151" t="s">
        <v>258</v>
      </c>
      <c r="E52" s="145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 t="s">
        <v>742</v>
      </c>
      <c r="AF52" s="152" t="s">
        <v>742</v>
      </c>
      <c r="AG52" s="152"/>
      <c r="AH52" s="153"/>
    </row>
    <row r="53" ht="13.5" customHeight="1">
      <c r="A53" s="148"/>
      <c r="B53" s="149"/>
      <c r="C53" s="150"/>
      <c r="D53" s="151" t="s">
        <v>1400</v>
      </c>
      <c r="E53" s="145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 t="s">
        <v>742</v>
      </c>
      <c r="AH53" s="153"/>
    </row>
    <row r="54" ht="13.5" customHeight="1">
      <c r="A54" s="148"/>
      <c r="B54" s="149"/>
      <c r="C54" s="150"/>
      <c r="D54" s="151" t="s">
        <v>1402</v>
      </c>
      <c r="E54" s="145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3" t="s">
        <v>742</v>
      </c>
    </row>
    <row r="55" ht="13.5" customHeight="1">
      <c r="A55" s="148"/>
      <c r="B55" s="154"/>
      <c r="C55" s="155"/>
      <c r="D55" s="156"/>
      <c r="E55" s="157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9"/>
    </row>
    <row r="56" ht="13.5" customHeight="1">
      <c r="A56" s="160" t="s">
        <v>802</v>
      </c>
      <c r="B56" s="161" t="s">
        <v>804</v>
      </c>
      <c r="C56" s="162"/>
      <c r="D56" s="163"/>
      <c r="E56" s="164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7"/>
    </row>
    <row r="57" ht="13.5" customHeight="1">
      <c r="A57" s="165"/>
      <c r="B57" s="166"/>
      <c r="C57" s="167"/>
      <c r="D57" s="168" t="s">
        <v>1406</v>
      </c>
      <c r="E57" s="169"/>
      <c r="F57" s="152" t="s">
        <v>742</v>
      </c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3"/>
    </row>
    <row r="58" ht="13.5" customHeight="1">
      <c r="A58" s="165"/>
      <c r="B58" s="166"/>
      <c r="C58" s="167"/>
      <c r="D58" s="168" t="s">
        <v>1408</v>
      </c>
      <c r="E58" s="169"/>
      <c r="F58" s="152" t="s">
        <v>742</v>
      </c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3"/>
    </row>
    <row r="59" ht="13.5" customHeight="1">
      <c r="A59" s="165"/>
      <c r="B59" s="166"/>
      <c r="C59" s="167"/>
      <c r="D59" s="168" t="s">
        <v>1409</v>
      </c>
      <c r="E59" s="169"/>
      <c r="F59" s="152"/>
      <c r="G59" s="152" t="s">
        <v>742</v>
      </c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3"/>
    </row>
    <row r="60" ht="13.5" customHeight="1">
      <c r="A60" s="165"/>
      <c r="B60" s="166"/>
      <c r="C60" s="167"/>
      <c r="D60" s="168" t="s">
        <v>1411</v>
      </c>
      <c r="E60" s="169"/>
      <c r="F60" s="152"/>
      <c r="G60" s="152"/>
      <c r="H60" s="152" t="s">
        <v>742</v>
      </c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3"/>
    </row>
    <row r="61" ht="13.5" customHeight="1">
      <c r="A61" s="165"/>
      <c r="B61" s="166"/>
      <c r="C61" s="167"/>
      <c r="D61" s="168" t="s">
        <v>1413</v>
      </c>
      <c r="E61" s="169"/>
      <c r="F61" s="152"/>
      <c r="G61" s="152"/>
      <c r="H61" s="152"/>
      <c r="I61" s="152" t="s">
        <v>742</v>
      </c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3"/>
    </row>
    <row r="62" ht="13.5" customHeight="1">
      <c r="A62" s="165"/>
      <c r="B62" s="166"/>
      <c r="C62" s="167"/>
      <c r="D62" s="168" t="s">
        <v>1415</v>
      </c>
      <c r="E62" s="169"/>
      <c r="F62" s="152"/>
      <c r="G62" s="152"/>
      <c r="H62" s="152"/>
      <c r="I62" s="152" t="s">
        <v>742</v>
      </c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3"/>
    </row>
    <row r="63" ht="13.5" customHeight="1">
      <c r="A63" s="165"/>
      <c r="B63" s="166"/>
      <c r="C63" s="167"/>
      <c r="D63" s="168" t="s">
        <v>1417</v>
      </c>
      <c r="E63" s="169"/>
      <c r="F63" s="152"/>
      <c r="G63" s="152"/>
      <c r="H63" s="152"/>
      <c r="I63" s="152"/>
      <c r="J63" s="152" t="s">
        <v>742</v>
      </c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3"/>
    </row>
    <row r="64" ht="13.5" customHeight="1">
      <c r="A64" s="165"/>
      <c r="B64" s="166"/>
      <c r="C64" s="167"/>
      <c r="D64" s="168" t="s">
        <v>1419</v>
      </c>
      <c r="E64" s="169"/>
      <c r="F64" s="152"/>
      <c r="G64" s="152"/>
      <c r="H64" s="152"/>
      <c r="I64" s="152"/>
      <c r="J64" s="152"/>
      <c r="K64" s="152" t="s">
        <v>742</v>
      </c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3"/>
    </row>
    <row r="65" ht="13.5" customHeight="1">
      <c r="A65" s="165"/>
      <c r="B65" s="166"/>
      <c r="C65" s="167"/>
      <c r="D65" s="168" t="s">
        <v>1421</v>
      </c>
      <c r="E65" s="169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 t="s">
        <v>742</v>
      </c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3"/>
    </row>
    <row r="66" ht="13.5" customHeight="1">
      <c r="A66" s="165"/>
      <c r="B66" s="166"/>
      <c r="C66" s="167"/>
      <c r="D66" s="168" t="s">
        <v>1423</v>
      </c>
      <c r="E66" s="169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 t="s">
        <v>742</v>
      </c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3"/>
    </row>
    <row r="67" ht="13.5" customHeight="1">
      <c r="A67" s="165"/>
      <c r="B67" s="166"/>
      <c r="C67" s="167"/>
      <c r="D67" s="168" t="s">
        <v>1425</v>
      </c>
      <c r="E67" s="169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 t="s">
        <v>742</v>
      </c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3"/>
    </row>
    <row r="68" ht="13.5" customHeight="1">
      <c r="A68" s="165"/>
      <c r="B68" s="166"/>
      <c r="C68" s="167"/>
      <c r="D68" s="168" t="s">
        <v>1427</v>
      </c>
      <c r="E68" s="169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 t="s">
        <v>742</v>
      </c>
      <c r="Z68" s="152"/>
      <c r="AA68" s="152"/>
      <c r="AB68" s="152"/>
      <c r="AC68" s="152"/>
      <c r="AD68" s="152"/>
      <c r="AE68" s="152"/>
      <c r="AF68" s="152"/>
      <c r="AG68" s="152"/>
      <c r="AH68" s="153"/>
    </row>
    <row r="69" ht="13.5" customHeight="1">
      <c r="A69" s="165"/>
      <c r="B69" s="166"/>
      <c r="C69" s="167"/>
      <c r="D69" s="168" t="s">
        <v>1428</v>
      </c>
      <c r="E69" s="169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 t="s">
        <v>742</v>
      </c>
      <c r="AC69" s="152"/>
      <c r="AD69" s="152"/>
      <c r="AE69" s="152"/>
      <c r="AF69" s="152"/>
      <c r="AG69" s="152"/>
      <c r="AH69" s="153"/>
    </row>
    <row r="70" ht="13.5" customHeight="1">
      <c r="A70" s="165"/>
      <c r="B70" s="166"/>
      <c r="C70" s="167"/>
      <c r="D70" s="168" t="s">
        <v>1431</v>
      </c>
      <c r="E70" s="169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 t="s">
        <v>742</v>
      </c>
      <c r="AD70" s="152"/>
      <c r="AE70" s="152"/>
      <c r="AF70" s="152"/>
      <c r="AG70" s="152"/>
      <c r="AH70" s="153"/>
    </row>
    <row r="71" ht="13.5" customHeight="1">
      <c r="A71" s="165"/>
      <c r="B71" s="166"/>
      <c r="C71" s="167"/>
      <c r="D71" s="168" t="s">
        <v>1434</v>
      </c>
      <c r="E71" s="169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 t="s">
        <v>742</v>
      </c>
      <c r="AE71" s="152"/>
      <c r="AF71" s="152"/>
      <c r="AG71" s="152"/>
      <c r="AH71" s="153"/>
    </row>
    <row r="72" ht="13.5" customHeight="1">
      <c r="A72" s="165"/>
      <c r="B72" s="166"/>
      <c r="C72" s="167"/>
      <c r="D72" s="168" t="s">
        <v>1436</v>
      </c>
      <c r="E72" s="169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 t="s">
        <v>742</v>
      </c>
      <c r="AF72" s="152"/>
      <c r="AG72" s="152"/>
      <c r="AH72" s="153"/>
    </row>
    <row r="73" ht="13.5" customHeight="1">
      <c r="A73" s="165"/>
      <c r="B73" s="166"/>
      <c r="C73" s="167"/>
      <c r="D73" s="168" t="s">
        <v>1439</v>
      </c>
      <c r="E73" s="169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 t="s">
        <v>742</v>
      </c>
      <c r="AG73" s="152"/>
      <c r="AH73" s="153"/>
    </row>
    <row r="74" ht="13.5" customHeight="1">
      <c r="A74" s="165"/>
      <c r="B74" s="166"/>
      <c r="C74" s="167"/>
      <c r="D74" s="168" t="s">
        <v>1441</v>
      </c>
      <c r="E74" s="169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 t="s">
        <v>742</v>
      </c>
      <c r="AH74" s="153"/>
    </row>
    <row r="75" ht="13.5" customHeight="1">
      <c r="A75" s="165"/>
      <c r="B75" s="166"/>
      <c r="C75" s="167"/>
      <c r="D75" s="168" t="s">
        <v>1442</v>
      </c>
      <c r="E75" s="169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3" t="s">
        <v>742</v>
      </c>
    </row>
    <row r="76" ht="13.5" customHeight="1">
      <c r="A76" s="165"/>
      <c r="B76" s="166" t="s">
        <v>825</v>
      </c>
      <c r="C76" s="167"/>
      <c r="D76" s="168"/>
      <c r="E76" s="169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3"/>
    </row>
    <row r="77" ht="13.5" customHeight="1">
      <c r="A77" s="165"/>
      <c r="B77" s="166"/>
      <c r="C77" s="167"/>
      <c r="D77" s="168" t="s">
        <v>1443</v>
      </c>
      <c r="E77" s="169"/>
      <c r="F77" s="152"/>
      <c r="G77" s="152"/>
      <c r="H77" s="152"/>
      <c r="I77" s="152"/>
      <c r="J77" s="152"/>
      <c r="K77" s="152"/>
      <c r="L77" s="152" t="s">
        <v>742</v>
      </c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3"/>
    </row>
    <row r="78" ht="13.5" customHeight="1">
      <c r="A78" s="165"/>
      <c r="B78" s="166"/>
      <c r="C78" s="167"/>
      <c r="D78" s="168" t="s">
        <v>1444</v>
      </c>
      <c r="E78" s="169"/>
      <c r="F78" s="152"/>
      <c r="G78" s="152"/>
      <c r="H78" s="152"/>
      <c r="I78" s="152"/>
      <c r="J78" s="152"/>
      <c r="K78" s="152"/>
      <c r="L78" s="152"/>
      <c r="M78" s="152" t="s">
        <v>742</v>
      </c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3"/>
    </row>
    <row r="79" ht="13.5" customHeight="1">
      <c r="A79" s="165"/>
      <c r="B79" s="166"/>
      <c r="C79" s="167"/>
      <c r="D79" s="168" t="s">
        <v>1446</v>
      </c>
      <c r="E79" s="169"/>
      <c r="F79" s="152"/>
      <c r="G79" s="152"/>
      <c r="H79" s="152"/>
      <c r="I79" s="152"/>
      <c r="J79" s="152"/>
      <c r="K79" s="152"/>
      <c r="L79" s="152"/>
      <c r="M79" s="152"/>
      <c r="N79" s="152" t="s">
        <v>742</v>
      </c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3"/>
    </row>
    <row r="80" ht="13.5" customHeight="1">
      <c r="A80" s="165"/>
      <c r="B80" s="166"/>
      <c r="C80" s="167"/>
      <c r="D80" s="168" t="s">
        <v>1448</v>
      </c>
      <c r="E80" s="169"/>
      <c r="F80" s="152"/>
      <c r="G80" s="152"/>
      <c r="H80" s="152"/>
      <c r="I80" s="152"/>
      <c r="J80" s="152"/>
      <c r="K80" s="152"/>
      <c r="L80" s="152"/>
      <c r="M80" s="152"/>
      <c r="N80" s="152"/>
      <c r="O80" s="152" t="s">
        <v>742</v>
      </c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3"/>
    </row>
    <row r="81" ht="13.5" customHeight="1">
      <c r="A81" s="165"/>
      <c r="B81" s="166"/>
      <c r="C81" s="167"/>
      <c r="D81" s="168" t="s">
        <v>1450</v>
      </c>
      <c r="E81" s="169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 t="s">
        <v>742</v>
      </c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3"/>
    </row>
    <row r="82" ht="13.5" customHeight="1">
      <c r="A82" s="165"/>
      <c r="B82" s="166"/>
      <c r="C82" s="167"/>
      <c r="D82" s="168" t="s">
        <v>1452</v>
      </c>
      <c r="E82" s="169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 t="s">
        <v>742</v>
      </c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3"/>
    </row>
    <row r="83" ht="13.5" customHeight="1">
      <c r="A83" s="165"/>
      <c r="B83" s="166"/>
      <c r="C83" s="167"/>
      <c r="D83" s="168" t="s">
        <v>1454</v>
      </c>
      <c r="E83" s="169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 t="s">
        <v>742</v>
      </c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3"/>
    </row>
    <row r="84" ht="13.5" customHeight="1">
      <c r="A84" s="165"/>
      <c r="B84" s="166"/>
      <c r="C84" s="167"/>
      <c r="D84" s="168" t="s">
        <v>1457</v>
      </c>
      <c r="E84" s="169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 t="s">
        <v>742</v>
      </c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3"/>
    </row>
    <row r="85" ht="13.5" customHeight="1">
      <c r="A85" s="165"/>
      <c r="B85" s="166"/>
      <c r="C85" s="167"/>
      <c r="D85" s="168" t="s">
        <v>1460</v>
      </c>
      <c r="E85" s="169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 t="s">
        <v>742</v>
      </c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3"/>
    </row>
    <row r="86" ht="13.5" customHeight="1">
      <c r="A86" s="165"/>
      <c r="B86" s="166"/>
      <c r="C86" s="167"/>
      <c r="D86" s="168" t="s">
        <v>1462</v>
      </c>
      <c r="E86" s="169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 t="s">
        <v>742</v>
      </c>
      <c r="Y86" s="152"/>
      <c r="Z86" s="152"/>
      <c r="AA86" s="152"/>
      <c r="AB86" s="152"/>
      <c r="AC86" s="152"/>
      <c r="AD86" s="152"/>
      <c r="AE86" s="152"/>
      <c r="AF86" s="152"/>
      <c r="AG86" s="152"/>
      <c r="AH86" s="153"/>
    </row>
    <row r="87" ht="13.5" customHeight="1">
      <c r="A87" s="165"/>
      <c r="B87" s="166"/>
      <c r="C87" s="167"/>
      <c r="D87" s="168" t="s">
        <v>1464</v>
      </c>
      <c r="E87" s="169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 t="s">
        <v>742</v>
      </c>
      <c r="AA87" s="152"/>
      <c r="AB87" s="152"/>
      <c r="AC87" s="152"/>
      <c r="AD87" s="152"/>
      <c r="AE87" s="152"/>
      <c r="AF87" s="152"/>
      <c r="AG87" s="152"/>
      <c r="AH87" s="153"/>
    </row>
    <row r="88" ht="13.5" customHeight="1">
      <c r="A88" s="165"/>
      <c r="B88" s="166"/>
      <c r="C88" s="167"/>
      <c r="D88" s="168" t="s">
        <v>1469</v>
      </c>
      <c r="E88" s="169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 t="s">
        <v>742</v>
      </c>
      <c r="AB88" s="152"/>
      <c r="AC88" s="152"/>
      <c r="AD88" s="152"/>
      <c r="AE88" s="152"/>
      <c r="AF88" s="152"/>
      <c r="AG88" s="152"/>
      <c r="AH88" s="153"/>
    </row>
    <row r="89" ht="13.5" customHeight="1">
      <c r="A89" s="165"/>
      <c r="B89" s="166" t="s">
        <v>854</v>
      </c>
      <c r="C89" s="167"/>
      <c r="D89" s="168"/>
      <c r="E89" s="169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3"/>
    </row>
    <row r="90" ht="13.5" customHeight="1">
      <c r="A90" s="165"/>
      <c r="B90" s="166"/>
      <c r="C90" s="167"/>
      <c r="D90" s="168" t="s">
        <v>1477</v>
      </c>
      <c r="E90" s="169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 t="s">
        <v>742</v>
      </c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3"/>
    </row>
    <row r="91" ht="13.5" customHeight="1">
      <c r="A91" s="165"/>
      <c r="B91" s="166"/>
      <c r="C91" s="167"/>
      <c r="D91" s="168" t="s">
        <v>1480</v>
      </c>
      <c r="E91" s="169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 t="s">
        <v>742</v>
      </c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3"/>
    </row>
    <row r="92" ht="13.5" customHeight="1">
      <c r="A92" s="165"/>
      <c r="B92" s="166"/>
      <c r="C92" s="167"/>
      <c r="D92" s="168" t="s">
        <v>1485</v>
      </c>
      <c r="E92" s="169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 t="s">
        <v>742</v>
      </c>
      <c r="AE92" s="152"/>
      <c r="AF92" s="152"/>
      <c r="AG92" s="152"/>
      <c r="AH92" s="153"/>
    </row>
    <row r="93" ht="13.5" customHeight="1">
      <c r="A93" s="165"/>
      <c r="B93" s="170"/>
      <c r="C93" s="171"/>
      <c r="D93" s="172"/>
      <c r="E93" s="173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B93" s="174"/>
      <c r="AC93" s="174"/>
      <c r="AD93" s="174"/>
      <c r="AE93" s="174"/>
      <c r="AF93" s="174"/>
      <c r="AG93" s="174"/>
      <c r="AH93" s="175"/>
    </row>
    <row r="94" ht="13.5" customHeight="1">
      <c r="A94" s="160" t="s">
        <v>865</v>
      </c>
      <c r="B94" s="176" t="s">
        <v>866</v>
      </c>
      <c r="C94" s="177"/>
      <c r="D94" s="178"/>
      <c r="E94" s="179"/>
      <c r="F94" s="180" t="s">
        <v>54</v>
      </c>
      <c r="G94" s="180" t="s">
        <v>54</v>
      </c>
      <c r="H94" s="180" t="s">
        <v>54</v>
      </c>
      <c r="I94" s="180" t="s">
        <v>54</v>
      </c>
      <c r="J94" s="180" t="s">
        <v>57</v>
      </c>
      <c r="K94" s="180" t="s">
        <v>54</v>
      </c>
      <c r="L94" s="180" t="s">
        <v>55</v>
      </c>
      <c r="M94" s="180" t="s">
        <v>55</v>
      </c>
      <c r="N94" s="180" t="s">
        <v>55</v>
      </c>
      <c r="O94" s="180" t="s">
        <v>55</v>
      </c>
      <c r="P94" s="180" t="s">
        <v>55</v>
      </c>
      <c r="Q94" s="180" t="s">
        <v>57</v>
      </c>
      <c r="R94" s="180" t="s">
        <v>55</v>
      </c>
      <c r="S94" s="180" t="s">
        <v>57</v>
      </c>
      <c r="T94" s="180" t="s">
        <v>54</v>
      </c>
      <c r="U94" s="180" t="s">
        <v>55</v>
      </c>
      <c r="V94" s="180" t="s">
        <v>54</v>
      </c>
      <c r="W94" s="180" t="s">
        <v>55</v>
      </c>
      <c r="X94" s="180" t="s">
        <v>55</v>
      </c>
      <c r="Y94" s="180" t="s">
        <v>54</v>
      </c>
      <c r="Z94" s="180" t="s">
        <v>55</v>
      </c>
      <c r="AA94" s="180" t="s">
        <v>55</v>
      </c>
      <c r="AB94" s="180" t="s">
        <v>54</v>
      </c>
      <c r="AC94" s="180" t="s">
        <v>54</v>
      </c>
      <c r="AD94" s="180" t="s">
        <v>55</v>
      </c>
      <c r="AE94" s="180" t="s">
        <v>54</v>
      </c>
      <c r="AF94" s="180" t="s">
        <v>54</v>
      </c>
      <c r="AG94" s="180" t="s">
        <v>54</v>
      </c>
      <c r="AH94" s="181" t="s">
        <v>57</v>
      </c>
    </row>
    <row r="95" ht="13.5" customHeight="1">
      <c r="A95" s="165"/>
      <c r="B95" s="182" t="s">
        <v>867</v>
      </c>
      <c r="C95" s="27"/>
      <c r="D95" s="25"/>
      <c r="E95" s="183"/>
      <c r="F95" s="184" t="s">
        <v>868</v>
      </c>
      <c r="G95" s="184" t="s">
        <v>868</v>
      </c>
      <c r="H95" s="184" t="s">
        <v>868</v>
      </c>
      <c r="I95" s="184" t="s">
        <v>868</v>
      </c>
      <c r="J95" s="184" t="s">
        <v>868</v>
      </c>
      <c r="K95" s="184" t="s">
        <v>868</v>
      </c>
      <c r="L95" s="184" t="s">
        <v>868</v>
      </c>
      <c r="M95" s="184" t="s">
        <v>868</v>
      </c>
      <c r="N95" s="184" t="s">
        <v>868</v>
      </c>
      <c r="O95" s="184" t="s">
        <v>868</v>
      </c>
      <c r="P95" s="184" t="s">
        <v>868</v>
      </c>
      <c r="Q95" s="184" t="s">
        <v>868</v>
      </c>
      <c r="R95" s="184" t="s">
        <v>868</v>
      </c>
      <c r="S95" s="184" t="s">
        <v>868</v>
      </c>
      <c r="T95" s="184" t="s">
        <v>868</v>
      </c>
      <c r="U95" s="184" t="s">
        <v>868</v>
      </c>
      <c r="V95" s="184" t="s">
        <v>868</v>
      </c>
      <c r="W95" s="184" t="s">
        <v>868</v>
      </c>
      <c r="X95" s="184" t="s">
        <v>868</v>
      </c>
      <c r="Y95" s="184" t="s">
        <v>868</v>
      </c>
      <c r="Z95" s="184" t="s">
        <v>868</v>
      </c>
      <c r="AA95" s="184" t="s">
        <v>868</v>
      </c>
      <c r="AB95" s="184" t="s">
        <v>868</v>
      </c>
      <c r="AC95" s="184" t="s">
        <v>868</v>
      </c>
      <c r="AD95" s="184" t="s">
        <v>868</v>
      </c>
      <c r="AE95" s="184" t="s">
        <v>868</v>
      </c>
      <c r="AF95" s="184" t="s">
        <v>868</v>
      </c>
      <c r="AG95" s="184" t="s">
        <v>868</v>
      </c>
      <c r="AH95" s="185" t="s">
        <v>868</v>
      </c>
    </row>
    <row r="96" ht="99.75" customHeight="1">
      <c r="A96" s="165"/>
      <c r="B96" s="186" t="s">
        <v>869</v>
      </c>
      <c r="C96" s="27"/>
      <c r="D96" s="25"/>
      <c r="E96" s="169"/>
      <c r="F96" s="187">
        <v>46273.0</v>
      </c>
      <c r="G96" s="187">
        <v>46273.0</v>
      </c>
      <c r="H96" s="187">
        <v>46273.0</v>
      </c>
      <c r="I96" s="187">
        <v>46273.0</v>
      </c>
      <c r="J96" s="187">
        <v>46273.0</v>
      </c>
      <c r="K96" s="187">
        <v>46273.0</v>
      </c>
      <c r="L96" s="187">
        <v>46273.0</v>
      </c>
      <c r="M96" s="187">
        <v>46273.0</v>
      </c>
      <c r="N96" s="187">
        <v>46273.0</v>
      </c>
      <c r="O96" s="187">
        <v>46273.0</v>
      </c>
      <c r="P96" s="187">
        <v>46273.0</v>
      </c>
      <c r="Q96" s="187">
        <v>46273.0</v>
      </c>
      <c r="R96" s="187">
        <v>46273.0</v>
      </c>
      <c r="S96" s="187">
        <v>46273.0</v>
      </c>
      <c r="T96" s="187">
        <v>46273.0</v>
      </c>
      <c r="U96" s="187">
        <v>46273.0</v>
      </c>
      <c r="V96" s="187">
        <v>46273.0</v>
      </c>
      <c r="W96" s="187">
        <v>46273.0</v>
      </c>
      <c r="X96" s="187">
        <v>46273.0</v>
      </c>
      <c r="Y96" s="187">
        <v>46273.0</v>
      </c>
      <c r="Z96" s="187">
        <v>46273.0</v>
      </c>
      <c r="AA96" s="187">
        <v>46273.0</v>
      </c>
      <c r="AB96" s="187">
        <v>46273.0</v>
      </c>
      <c r="AC96" s="187">
        <v>46273.0</v>
      </c>
      <c r="AD96" s="187">
        <v>46273.0</v>
      </c>
      <c r="AE96" s="187">
        <v>46273.0</v>
      </c>
      <c r="AF96" s="187">
        <v>46273.0</v>
      </c>
      <c r="AG96" s="187">
        <v>46273.0</v>
      </c>
      <c r="AH96" s="189">
        <v>46273.0</v>
      </c>
    </row>
    <row r="97" ht="72.75" customHeight="1">
      <c r="A97" s="190"/>
      <c r="B97" s="191" t="s">
        <v>870</v>
      </c>
      <c r="C97" s="192"/>
      <c r="D97" s="193"/>
      <c r="E97" s="194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6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AH4"/>
    <mergeCell ref="C5:AH5"/>
    <mergeCell ref="A2:B2"/>
    <mergeCell ref="C2:E2"/>
    <mergeCell ref="F2:K2"/>
    <mergeCell ref="L2:AH2"/>
    <mergeCell ref="C3:E3"/>
    <mergeCell ref="F3:K3"/>
    <mergeCell ref="L3:AH3"/>
    <mergeCell ref="F6:K6"/>
    <mergeCell ref="L6:N6"/>
    <mergeCell ref="O6:AH6"/>
    <mergeCell ref="A7:B7"/>
    <mergeCell ref="C7:E7"/>
    <mergeCell ref="F7:K7"/>
    <mergeCell ref="O7:AH7"/>
    <mergeCell ref="B94:D94"/>
    <mergeCell ref="B95:D95"/>
    <mergeCell ref="B96:D96"/>
    <mergeCell ref="B97:D97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2" width="3.57"/>
    <col customWidth="1" min="23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 ht="13.5" customHeight="1">
      <c r="A2" s="111" t="s">
        <v>707</v>
      </c>
      <c r="B2" s="112"/>
      <c r="C2" s="113" t="s">
        <v>262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256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  <c r="U3" s="27"/>
      <c r="V3" s="27"/>
    </row>
    <row r="4" ht="13.5" customHeight="1">
      <c r="A4" s="117" t="s">
        <v>711</v>
      </c>
      <c r="B4" s="27"/>
      <c r="C4" s="122">
        <v>89.0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</row>
    <row r="5" ht="13.5" customHeight="1">
      <c r="A5" s="117" t="s">
        <v>713</v>
      </c>
      <c r="B5" s="27"/>
      <c r="C5" s="124" t="s">
        <v>1384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</row>
    <row r="7" ht="13.5" customHeight="1">
      <c r="A7" s="129">
        <f>COUNTIF(F57:V57,"P")</f>
        <v>17</v>
      </c>
      <c r="B7" s="130"/>
      <c r="C7" s="131">
        <f>COUNTIF(F57:V57,"F")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COUNTIF(F56:V56,"N")</f>
        <v>6</v>
      </c>
      <c r="M7" s="132">
        <f>COUNTIF(F56:V56,"A")</f>
        <v>7</v>
      </c>
      <c r="N7" s="132">
        <f>COUNTIF(F56:V56,"B")</f>
        <v>4</v>
      </c>
      <c r="O7" s="133">
        <f>COUNTA(F9:V9)</f>
        <v>17</v>
      </c>
      <c r="P7" s="130"/>
      <c r="Q7" s="130"/>
      <c r="R7" s="130"/>
      <c r="S7" s="130"/>
      <c r="T7" s="130"/>
      <c r="U7" s="130"/>
      <c r="V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40" t="s">
        <v>732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7"/>
    </row>
    <row r="11" ht="13.5" customHeight="1">
      <c r="A11" s="148"/>
      <c r="B11" s="149"/>
      <c r="C11" s="150"/>
      <c r="D11" s="151" t="s">
        <v>1401</v>
      </c>
      <c r="E11" s="145"/>
      <c r="F11" s="152" t="s">
        <v>742</v>
      </c>
      <c r="G11" s="152"/>
      <c r="H11" s="152"/>
      <c r="I11" s="152" t="s">
        <v>742</v>
      </c>
      <c r="J11" s="152" t="s">
        <v>742</v>
      </c>
      <c r="K11" s="152" t="s">
        <v>742</v>
      </c>
      <c r="L11" s="152"/>
      <c r="M11" s="152"/>
      <c r="N11" s="152" t="s">
        <v>742</v>
      </c>
      <c r="O11" s="152"/>
      <c r="P11" s="152"/>
      <c r="Q11" s="152"/>
      <c r="R11" s="152"/>
      <c r="S11" s="152" t="s">
        <v>742</v>
      </c>
      <c r="T11" s="152"/>
      <c r="U11" s="152"/>
      <c r="V11" s="153"/>
    </row>
    <row r="12" ht="13.5" customHeight="1">
      <c r="A12" s="148"/>
      <c r="B12" s="149"/>
      <c r="C12" s="150"/>
      <c r="D12" s="151" t="s">
        <v>1403</v>
      </c>
      <c r="E12" s="145"/>
      <c r="F12" s="152"/>
      <c r="G12" s="152" t="s">
        <v>742</v>
      </c>
      <c r="H12" s="152" t="s">
        <v>742</v>
      </c>
      <c r="I12" s="152"/>
      <c r="J12" s="152"/>
      <c r="K12" s="152"/>
      <c r="L12" s="152"/>
      <c r="M12" s="152"/>
      <c r="N12" s="152"/>
      <c r="O12" s="152" t="s">
        <v>742</v>
      </c>
      <c r="P12" s="152" t="s">
        <v>742</v>
      </c>
      <c r="Q12" s="152" t="s">
        <v>742</v>
      </c>
      <c r="R12" s="152" t="s">
        <v>742</v>
      </c>
      <c r="S12" s="152"/>
      <c r="T12" s="152"/>
      <c r="U12" s="152"/>
      <c r="V12" s="153"/>
    </row>
    <row r="13" ht="13.5" customHeight="1">
      <c r="A13" s="148"/>
      <c r="B13" s="149"/>
      <c r="C13" s="150"/>
      <c r="D13" s="151" t="s">
        <v>1190</v>
      </c>
      <c r="E13" s="145"/>
      <c r="F13" s="152"/>
      <c r="G13" s="152"/>
      <c r="H13" s="152"/>
      <c r="I13" s="152"/>
      <c r="J13" s="152"/>
      <c r="K13" s="152"/>
      <c r="L13" s="152" t="s">
        <v>742</v>
      </c>
      <c r="M13" s="152"/>
      <c r="N13" s="152"/>
      <c r="O13" s="152"/>
      <c r="P13" s="152"/>
      <c r="Q13" s="152"/>
      <c r="R13" s="152"/>
      <c r="S13" s="152"/>
      <c r="T13" s="152"/>
      <c r="U13" s="152"/>
      <c r="V13" s="153"/>
    </row>
    <row r="14" ht="13.5" customHeight="1">
      <c r="A14" s="148"/>
      <c r="B14" s="149"/>
      <c r="C14" s="150"/>
      <c r="D14" s="151" t="s">
        <v>1404</v>
      </c>
      <c r="E14" s="145"/>
      <c r="F14" s="152"/>
      <c r="G14" s="152"/>
      <c r="H14" s="152"/>
      <c r="I14" s="152"/>
      <c r="J14" s="152"/>
      <c r="K14" s="152"/>
      <c r="L14" s="152"/>
      <c r="M14" s="152" t="s">
        <v>742</v>
      </c>
      <c r="N14" s="152"/>
      <c r="O14" s="152"/>
      <c r="P14" s="152"/>
      <c r="Q14" s="152"/>
      <c r="R14" s="152"/>
      <c r="S14" s="152"/>
      <c r="T14" s="152"/>
      <c r="U14" s="152"/>
      <c r="V14" s="153"/>
    </row>
    <row r="15" ht="13.5" customHeight="1">
      <c r="A15" s="148"/>
      <c r="B15" s="149"/>
      <c r="C15" s="150"/>
      <c r="D15" s="151" t="s">
        <v>1405</v>
      </c>
      <c r="E15" s="145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 t="s">
        <v>742</v>
      </c>
      <c r="T15" s="152"/>
      <c r="U15" s="152"/>
      <c r="V15" s="153"/>
    </row>
    <row r="16" ht="13.5" customHeight="1">
      <c r="A16" s="148"/>
      <c r="B16" s="149"/>
      <c r="C16" s="150"/>
      <c r="D16" s="151" t="s">
        <v>1407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 t="s">
        <v>742</v>
      </c>
      <c r="U16" s="152" t="s">
        <v>742</v>
      </c>
      <c r="V16" s="153" t="s">
        <v>742</v>
      </c>
    </row>
    <row r="17" ht="13.5" customHeight="1">
      <c r="A17" s="148"/>
      <c r="B17" s="149" t="s">
        <v>768</v>
      </c>
      <c r="C17" s="150"/>
      <c r="D17" s="151"/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3"/>
    </row>
    <row r="18" ht="13.5" customHeight="1">
      <c r="A18" s="148"/>
      <c r="B18" s="149"/>
      <c r="C18" s="150"/>
      <c r="D18" s="151" t="s">
        <v>1410</v>
      </c>
      <c r="E18" s="145"/>
      <c r="F18" s="152" t="s">
        <v>742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3"/>
    </row>
    <row r="19" ht="13.5" customHeight="1">
      <c r="A19" s="148"/>
      <c r="B19" s="149"/>
      <c r="C19" s="150"/>
      <c r="D19" s="151" t="s">
        <v>1412</v>
      </c>
      <c r="E19" s="145"/>
      <c r="F19" s="152"/>
      <c r="G19" s="152" t="s">
        <v>742</v>
      </c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3"/>
    </row>
    <row r="20" ht="13.5" customHeight="1">
      <c r="A20" s="148"/>
      <c r="B20" s="149"/>
      <c r="C20" s="150"/>
      <c r="D20" s="151" t="s">
        <v>1414</v>
      </c>
      <c r="E20" s="145"/>
      <c r="F20" s="152"/>
      <c r="G20" s="152"/>
      <c r="H20" s="152" t="s">
        <v>742</v>
      </c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3"/>
    </row>
    <row r="21" ht="13.5" customHeight="1">
      <c r="A21" s="148"/>
      <c r="B21" s="149"/>
      <c r="C21" s="150"/>
      <c r="D21" s="151" t="s">
        <v>1416</v>
      </c>
      <c r="E21" s="145"/>
      <c r="F21" s="152"/>
      <c r="G21" s="152"/>
      <c r="H21" s="152"/>
      <c r="I21" s="152" t="s">
        <v>742</v>
      </c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3"/>
    </row>
    <row r="22" ht="13.5" customHeight="1">
      <c r="A22" s="148"/>
      <c r="B22" s="149"/>
      <c r="C22" s="150"/>
      <c r="D22" s="151" t="s">
        <v>1418</v>
      </c>
      <c r="E22" s="145"/>
      <c r="F22" s="152"/>
      <c r="G22" s="152"/>
      <c r="H22" s="152"/>
      <c r="I22" s="152"/>
      <c r="J22" s="152" t="s">
        <v>742</v>
      </c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</row>
    <row r="23" ht="13.5" customHeight="1">
      <c r="A23" s="148"/>
      <c r="B23" s="149"/>
      <c r="C23" s="150"/>
      <c r="D23" s="151" t="s">
        <v>1420</v>
      </c>
      <c r="E23" s="145"/>
      <c r="F23" s="152"/>
      <c r="G23" s="152"/>
      <c r="H23" s="152"/>
      <c r="I23" s="152"/>
      <c r="J23" s="152"/>
      <c r="K23" s="152" t="s">
        <v>742</v>
      </c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3"/>
    </row>
    <row r="24" ht="13.5" customHeight="1">
      <c r="A24" s="148"/>
      <c r="B24" s="149"/>
      <c r="C24" s="150"/>
      <c r="D24" s="151" t="s">
        <v>1095</v>
      </c>
      <c r="E24" s="145"/>
      <c r="F24" s="152"/>
      <c r="G24" s="152"/>
      <c r="H24" s="152"/>
      <c r="I24" s="152"/>
      <c r="J24" s="152"/>
      <c r="K24" s="152"/>
      <c r="L24" s="152" t="s">
        <v>742</v>
      </c>
      <c r="M24" s="152"/>
      <c r="N24" s="152"/>
      <c r="O24" s="152"/>
      <c r="P24" s="152"/>
      <c r="Q24" s="152"/>
      <c r="R24" s="152"/>
      <c r="S24" s="152"/>
      <c r="T24" s="152"/>
      <c r="U24" s="152"/>
      <c r="V24" s="153"/>
    </row>
    <row r="25" ht="13.5" customHeight="1">
      <c r="A25" s="148"/>
      <c r="B25" s="149"/>
      <c r="C25" s="150"/>
      <c r="D25" s="151" t="s">
        <v>1422</v>
      </c>
      <c r="E25" s="145"/>
      <c r="F25" s="152"/>
      <c r="G25" s="152"/>
      <c r="H25" s="152"/>
      <c r="I25" s="152"/>
      <c r="J25" s="152"/>
      <c r="K25" s="152"/>
      <c r="L25" s="152"/>
      <c r="M25" s="152" t="s">
        <v>742</v>
      </c>
      <c r="N25" s="152"/>
      <c r="O25" s="152"/>
      <c r="P25" s="152"/>
      <c r="Q25" s="152"/>
      <c r="R25" s="152"/>
      <c r="S25" s="152" t="s">
        <v>742</v>
      </c>
      <c r="T25" s="152"/>
      <c r="U25" s="152"/>
      <c r="V25" s="153"/>
    </row>
    <row r="26" ht="13.5" customHeight="1">
      <c r="A26" s="148"/>
      <c r="B26" s="149"/>
      <c r="C26" s="150"/>
      <c r="D26" s="151" t="s">
        <v>1424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 t="s">
        <v>742</v>
      </c>
      <c r="O26" s="152"/>
      <c r="P26" s="152"/>
      <c r="Q26" s="152"/>
      <c r="R26" s="152"/>
      <c r="S26" s="152"/>
      <c r="T26" s="152"/>
      <c r="U26" s="152"/>
      <c r="V26" s="153"/>
    </row>
    <row r="27" ht="13.5" customHeight="1">
      <c r="A27" s="148"/>
      <c r="B27" s="149"/>
      <c r="C27" s="150"/>
      <c r="D27" s="151" t="s">
        <v>1426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 t="s">
        <v>742</v>
      </c>
      <c r="P27" s="152"/>
      <c r="Q27" s="152"/>
      <c r="R27" s="152"/>
      <c r="S27" s="152"/>
      <c r="T27" s="152"/>
      <c r="U27" s="152"/>
      <c r="V27" s="153"/>
    </row>
    <row r="28" ht="13.5" customHeight="1">
      <c r="A28" s="148"/>
      <c r="B28" s="149"/>
      <c r="C28" s="150"/>
      <c r="D28" s="151" t="s">
        <v>1429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 t="s">
        <v>742</v>
      </c>
      <c r="Q28" s="152"/>
      <c r="R28" s="152"/>
      <c r="S28" s="152"/>
      <c r="T28" s="152"/>
      <c r="U28" s="152"/>
      <c r="V28" s="153"/>
    </row>
    <row r="29" ht="13.5" customHeight="1">
      <c r="A29" s="148"/>
      <c r="B29" s="149"/>
      <c r="C29" s="150"/>
      <c r="D29" s="151" t="s">
        <v>1430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 t="s">
        <v>742</v>
      </c>
      <c r="R29" s="152"/>
      <c r="S29" s="152"/>
      <c r="T29" s="152"/>
      <c r="U29" s="152"/>
      <c r="V29" s="153"/>
    </row>
    <row r="30" ht="13.5" customHeight="1">
      <c r="A30" s="148"/>
      <c r="B30" s="149"/>
      <c r="C30" s="150"/>
      <c r="D30" s="151" t="s">
        <v>1432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 t="s">
        <v>742</v>
      </c>
      <c r="S30" s="152"/>
      <c r="T30" s="152"/>
      <c r="U30" s="152"/>
      <c r="V30" s="153"/>
    </row>
    <row r="31" ht="13.5" customHeight="1">
      <c r="A31" s="148"/>
      <c r="B31" s="149"/>
      <c r="C31" s="150"/>
      <c r="D31" s="151" t="s">
        <v>1435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 t="s">
        <v>742</v>
      </c>
      <c r="U31" s="152"/>
      <c r="V31" s="153"/>
    </row>
    <row r="32" ht="13.5" customHeight="1">
      <c r="A32" s="148"/>
      <c r="B32" s="149"/>
      <c r="C32" s="150"/>
      <c r="D32" s="151" t="s">
        <v>1438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 t="s">
        <v>742</v>
      </c>
      <c r="V32" s="153"/>
    </row>
    <row r="33" ht="13.5" customHeight="1">
      <c r="A33" s="148"/>
      <c r="B33" s="149"/>
      <c r="C33" s="150"/>
      <c r="D33" s="151" t="s">
        <v>1440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3" t="s">
        <v>742</v>
      </c>
    </row>
    <row r="34" ht="13.5" customHeight="1">
      <c r="A34" s="148"/>
      <c r="B34" s="154"/>
      <c r="C34" s="155"/>
      <c r="D34" s="156"/>
      <c r="E34" s="15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9"/>
    </row>
    <row r="35" ht="13.5" customHeight="1">
      <c r="A35" s="160" t="s">
        <v>802</v>
      </c>
      <c r="B35" s="161" t="s">
        <v>804</v>
      </c>
      <c r="C35" s="162"/>
      <c r="D35" s="163"/>
      <c r="E35" s="164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7"/>
    </row>
    <row r="36" ht="13.5" customHeight="1">
      <c r="A36" s="165"/>
      <c r="B36" s="166"/>
      <c r="C36" s="167"/>
      <c r="D36" s="168" t="s">
        <v>1445</v>
      </c>
      <c r="E36" s="169"/>
      <c r="F36" s="152" t="s">
        <v>742</v>
      </c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3"/>
    </row>
    <row r="37" ht="13.5" customHeight="1">
      <c r="A37" s="165"/>
      <c r="B37" s="166"/>
      <c r="C37" s="167"/>
      <c r="D37" s="168" t="s">
        <v>1447</v>
      </c>
      <c r="E37" s="169"/>
      <c r="F37" s="152"/>
      <c r="G37" s="152" t="s">
        <v>742</v>
      </c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3"/>
    </row>
    <row r="38" ht="13.5" customHeight="1">
      <c r="A38" s="165"/>
      <c r="B38" s="166"/>
      <c r="C38" s="167"/>
      <c r="D38" s="168" t="s">
        <v>1449</v>
      </c>
      <c r="E38" s="169"/>
      <c r="F38" s="152"/>
      <c r="G38" s="152"/>
      <c r="H38" s="152" t="s">
        <v>742</v>
      </c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3"/>
    </row>
    <row r="39" ht="13.5" customHeight="1">
      <c r="A39" s="165"/>
      <c r="B39" s="166"/>
      <c r="C39" s="167"/>
      <c r="D39" s="168" t="s">
        <v>1451</v>
      </c>
      <c r="E39" s="169"/>
      <c r="F39" s="152"/>
      <c r="G39" s="152"/>
      <c r="H39" s="152"/>
      <c r="I39" s="152" t="s">
        <v>742</v>
      </c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3"/>
    </row>
    <row r="40" ht="13.5" customHeight="1">
      <c r="A40" s="165"/>
      <c r="B40" s="166"/>
      <c r="C40" s="167"/>
      <c r="D40" s="168" t="s">
        <v>1453</v>
      </c>
      <c r="E40" s="169"/>
      <c r="F40" s="152"/>
      <c r="G40" s="152"/>
      <c r="H40" s="152"/>
      <c r="I40" s="152"/>
      <c r="J40" s="152" t="s">
        <v>742</v>
      </c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3"/>
    </row>
    <row r="41" ht="13.5" customHeight="1">
      <c r="A41" s="165"/>
      <c r="B41" s="166"/>
      <c r="C41" s="167"/>
      <c r="D41" s="168" t="s">
        <v>1456</v>
      </c>
      <c r="E41" s="169"/>
      <c r="F41" s="152"/>
      <c r="G41" s="152"/>
      <c r="H41" s="152"/>
      <c r="I41" s="152"/>
      <c r="J41" s="152"/>
      <c r="K41" s="152" t="s">
        <v>742</v>
      </c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3"/>
    </row>
    <row r="42" ht="13.5" customHeight="1">
      <c r="A42" s="165"/>
      <c r="B42" s="166"/>
      <c r="C42" s="167"/>
      <c r="D42" s="168" t="s">
        <v>1459</v>
      </c>
      <c r="E42" s="169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 t="s">
        <v>742</v>
      </c>
      <c r="S42" s="152"/>
      <c r="T42" s="152"/>
      <c r="U42" s="152"/>
      <c r="V42" s="153"/>
    </row>
    <row r="43" ht="13.5" customHeight="1">
      <c r="A43" s="165"/>
      <c r="B43" s="166"/>
      <c r="C43" s="167"/>
      <c r="D43" s="168" t="s">
        <v>817</v>
      </c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 t="s">
        <v>742</v>
      </c>
      <c r="U43" s="152"/>
      <c r="V43" s="153"/>
    </row>
    <row r="44" ht="13.5" customHeight="1">
      <c r="A44" s="165"/>
      <c r="B44" s="166" t="s">
        <v>825</v>
      </c>
      <c r="C44" s="167"/>
      <c r="D44" s="168"/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3"/>
    </row>
    <row r="45" ht="13.5" customHeight="1">
      <c r="A45" s="165"/>
      <c r="B45" s="166"/>
      <c r="C45" s="167"/>
      <c r="D45" s="168" t="s">
        <v>1466</v>
      </c>
      <c r="E45" s="169"/>
      <c r="F45" s="152"/>
      <c r="G45" s="152"/>
      <c r="H45" s="152"/>
      <c r="I45" s="152"/>
      <c r="J45" s="152"/>
      <c r="K45" s="152"/>
      <c r="L45" s="152" t="s">
        <v>742</v>
      </c>
      <c r="M45" s="152"/>
      <c r="N45" s="152"/>
      <c r="O45" s="152"/>
      <c r="P45" s="152"/>
      <c r="Q45" s="152"/>
      <c r="R45" s="152"/>
      <c r="S45" s="152"/>
      <c r="T45" s="152"/>
      <c r="U45" s="152"/>
      <c r="V45" s="153"/>
    </row>
    <row r="46" ht="13.5" customHeight="1">
      <c r="A46" s="165"/>
      <c r="B46" s="166"/>
      <c r="C46" s="167"/>
      <c r="D46" s="168" t="s">
        <v>1471</v>
      </c>
      <c r="E46" s="169"/>
      <c r="F46" s="152"/>
      <c r="G46" s="152"/>
      <c r="H46" s="152"/>
      <c r="I46" s="152"/>
      <c r="J46" s="152"/>
      <c r="K46" s="152"/>
      <c r="L46" s="152"/>
      <c r="M46" s="152" t="s">
        <v>742</v>
      </c>
      <c r="N46" s="152"/>
      <c r="O46" s="152"/>
      <c r="P46" s="152"/>
      <c r="Q46" s="152"/>
      <c r="R46" s="152"/>
      <c r="S46" s="152"/>
      <c r="T46" s="152"/>
      <c r="U46" s="152"/>
      <c r="V46" s="153"/>
    </row>
    <row r="47" ht="13.5" customHeight="1">
      <c r="A47" s="165"/>
      <c r="B47" s="166"/>
      <c r="C47" s="167"/>
      <c r="D47" s="168" t="s">
        <v>1475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 t="s">
        <v>742</v>
      </c>
      <c r="O47" s="152"/>
      <c r="P47" s="152"/>
      <c r="Q47" s="152"/>
      <c r="R47" s="152"/>
      <c r="S47" s="152"/>
      <c r="T47" s="152"/>
      <c r="U47" s="152"/>
      <c r="V47" s="153"/>
    </row>
    <row r="48" ht="13.5" customHeight="1">
      <c r="A48" s="165"/>
      <c r="B48" s="166"/>
      <c r="C48" s="167"/>
      <c r="D48" s="168" t="s">
        <v>1478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 t="s">
        <v>742</v>
      </c>
      <c r="P48" s="152"/>
      <c r="Q48" s="152"/>
      <c r="R48" s="152"/>
      <c r="S48" s="152"/>
      <c r="T48" s="152"/>
      <c r="U48" s="152"/>
      <c r="V48" s="153"/>
    </row>
    <row r="49" ht="13.5" customHeight="1">
      <c r="A49" s="165"/>
      <c r="B49" s="166"/>
      <c r="C49" s="167"/>
      <c r="D49" s="168" t="s">
        <v>1483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 t="s">
        <v>742</v>
      </c>
      <c r="Q49" s="152"/>
      <c r="R49" s="152"/>
      <c r="S49" s="152"/>
      <c r="T49" s="152"/>
      <c r="U49" s="152"/>
      <c r="V49" s="153"/>
    </row>
    <row r="50" ht="13.5" customHeight="1">
      <c r="A50" s="165"/>
      <c r="B50" s="166"/>
      <c r="C50" s="167"/>
      <c r="D50" s="168" t="s">
        <v>1487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 t="s">
        <v>742</v>
      </c>
      <c r="R50" s="152"/>
      <c r="S50" s="152"/>
      <c r="T50" s="152"/>
      <c r="U50" s="152"/>
      <c r="V50" s="153"/>
    </row>
    <row r="51" ht="13.5" customHeight="1">
      <c r="A51" s="165"/>
      <c r="B51" s="166"/>
      <c r="C51" s="167"/>
      <c r="D51" s="168" t="s">
        <v>1490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 t="s">
        <v>742</v>
      </c>
      <c r="T51" s="152"/>
      <c r="U51" s="152"/>
      <c r="V51" s="153"/>
    </row>
    <row r="52" ht="13.5" customHeight="1">
      <c r="A52" s="165"/>
      <c r="B52" s="166"/>
      <c r="C52" s="167"/>
      <c r="D52" s="168" t="s">
        <v>1493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 t="s">
        <v>742</v>
      </c>
      <c r="V52" s="153"/>
    </row>
    <row r="53" ht="13.5" customHeight="1">
      <c r="A53" s="165"/>
      <c r="B53" s="166"/>
      <c r="C53" s="167"/>
      <c r="D53" s="168" t="s">
        <v>1497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3" t="s">
        <v>742</v>
      </c>
    </row>
    <row r="54" ht="13.5" customHeight="1">
      <c r="A54" s="165"/>
      <c r="B54" s="166" t="s">
        <v>854</v>
      </c>
      <c r="C54" s="167"/>
      <c r="D54" s="168"/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3"/>
    </row>
    <row r="55" ht="13.5" customHeight="1">
      <c r="A55" s="165"/>
      <c r="B55" s="170"/>
      <c r="C55" s="171"/>
      <c r="D55" s="172"/>
      <c r="E55" s="173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5"/>
    </row>
    <row r="56" ht="13.5" customHeight="1">
      <c r="A56" s="160" t="s">
        <v>865</v>
      </c>
      <c r="B56" s="176" t="s">
        <v>866</v>
      </c>
      <c r="C56" s="177"/>
      <c r="D56" s="178"/>
      <c r="E56" s="179"/>
      <c r="F56" s="180" t="s">
        <v>54</v>
      </c>
      <c r="G56" s="180" t="s">
        <v>54</v>
      </c>
      <c r="H56" s="180" t="s">
        <v>54</v>
      </c>
      <c r="I56" s="180" t="s">
        <v>54</v>
      </c>
      <c r="J56" s="180" t="s">
        <v>54</v>
      </c>
      <c r="K56" s="180" t="s">
        <v>54</v>
      </c>
      <c r="L56" s="180" t="s">
        <v>55</v>
      </c>
      <c r="M56" s="180" t="s">
        <v>55</v>
      </c>
      <c r="N56" s="180" t="s">
        <v>55</v>
      </c>
      <c r="O56" s="180" t="s">
        <v>55</v>
      </c>
      <c r="P56" s="180" t="s">
        <v>55</v>
      </c>
      <c r="Q56" s="180" t="s">
        <v>57</v>
      </c>
      <c r="R56" s="180" t="s">
        <v>57</v>
      </c>
      <c r="S56" s="180" t="s">
        <v>55</v>
      </c>
      <c r="T56" s="180" t="s">
        <v>57</v>
      </c>
      <c r="U56" s="180" t="s">
        <v>57</v>
      </c>
      <c r="V56" s="181" t="s">
        <v>55</v>
      </c>
    </row>
    <row r="57" ht="13.5" customHeight="1">
      <c r="A57" s="165"/>
      <c r="B57" s="182" t="s">
        <v>867</v>
      </c>
      <c r="C57" s="27"/>
      <c r="D57" s="25"/>
      <c r="E57" s="183"/>
      <c r="F57" s="184" t="s">
        <v>868</v>
      </c>
      <c r="G57" s="184" t="s">
        <v>868</v>
      </c>
      <c r="H57" s="184" t="s">
        <v>868</v>
      </c>
      <c r="I57" s="184" t="s">
        <v>868</v>
      </c>
      <c r="J57" s="184" t="s">
        <v>868</v>
      </c>
      <c r="K57" s="184" t="s">
        <v>868</v>
      </c>
      <c r="L57" s="184" t="s">
        <v>868</v>
      </c>
      <c r="M57" s="184" t="s">
        <v>868</v>
      </c>
      <c r="N57" s="184" t="s">
        <v>868</v>
      </c>
      <c r="O57" s="184" t="s">
        <v>868</v>
      </c>
      <c r="P57" s="184" t="s">
        <v>868</v>
      </c>
      <c r="Q57" s="184" t="s">
        <v>868</v>
      </c>
      <c r="R57" s="184" t="s">
        <v>868</v>
      </c>
      <c r="S57" s="184" t="s">
        <v>868</v>
      </c>
      <c r="T57" s="184" t="s">
        <v>868</v>
      </c>
      <c r="U57" s="184" t="s">
        <v>868</v>
      </c>
      <c r="V57" s="185" t="s">
        <v>868</v>
      </c>
    </row>
    <row r="58" ht="99.75" customHeight="1">
      <c r="A58" s="165"/>
      <c r="B58" s="186" t="s">
        <v>869</v>
      </c>
      <c r="C58" s="27"/>
      <c r="D58" s="25"/>
      <c r="E58" s="169"/>
      <c r="F58" s="187">
        <v>46223.0</v>
      </c>
      <c r="G58" s="187">
        <v>46223.0</v>
      </c>
      <c r="H58" s="187">
        <v>46223.0</v>
      </c>
      <c r="I58" s="187">
        <v>46223.0</v>
      </c>
      <c r="J58" s="187">
        <v>46223.0</v>
      </c>
      <c r="K58" s="187">
        <v>46223.0</v>
      </c>
      <c r="L58" s="187">
        <v>46223.0</v>
      </c>
      <c r="M58" s="187">
        <v>46223.0</v>
      </c>
      <c r="N58" s="187">
        <v>46223.0</v>
      </c>
      <c r="O58" s="187">
        <v>46223.0</v>
      </c>
      <c r="P58" s="187">
        <v>46223.0</v>
      </c>
      <c r="Q58" s="187">
        <v>46223.0</v>
      </c>
      <c r="R58" s="187">
        <v>46223.0</v>
      </c>
      <c r="S58" s="187">
        <v>46223.0</v>
      </c>
      <c r="T58" s="187">
        <v>46223.0</v>
      </c>
      <c r="U58" s="187">
        <v>46223.0</v>
      </c>
      <c r="V58" s="189">
        <v>46223.0</v>
      </c>
    </row>
    <row r="59" ht="72.75" customHeight="1">
      <c r="A59" s="190"/>
      <c r="B59" s="191" t="s">
        <v>870</v>
      </c>
      <c r="C59" s="192"/>
      <c r="D59" s="193"/>
      <c r="E59" s="194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6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V4"/>
    <mergeCell ref="C5:V5"/>
    <mergeCell ref="A2:B2"/>
    <mergeCell ref="C2:E2"/>
    <mergeCell ref="F2:K2"/>
    <mergeCell ref="L2:V2"/>
    <mergeCell ref="C3:E3"/>
    <mergeCell ref="F3:K3"/>
    <mergeCell ref="L3:V3"/>
    <mergeCell ref="F6:K6"/>
    <mergeCell ref="L6:N6"/>
    <mergeCell ref="O6:V6"/>
    <mergeCell ref="A7:B7"/>
    <mergeCell ref="C7:E7"/>
    <mergeCell ref="F7:K7"/>
    <mergeCell ref="O7:V7"/>
    <mergeCell ref="B56:D56"/>
    <mergeCell ref="B57:D57"/>
    <mergeCell ref="B58:D58"/>
    <mergeCell ref="B59:D59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265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267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215.0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1433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COUNTIF(F53:T53,"P")</f>
        <v>13</v>
      </c>
      <c r="B7" s="130"/>
      <c r="C7" s="131">
        <f>COUNTIF(F53:T53,"F")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COUNTIF(F52:T52,"N")</f>
        <v>6</v>
      </c>
      <c r="M7" s="132">
        <f>COUNTIF(F52:T52,"A")</f>
        <v>4</v>
      </c>
      <c r="N7" s="132">
        <f>COUNTIF(F52:T52,"B")</f>
        <v>3</v>
      </c>
      <c r="O7" s="133">
        <f>COUNTA(F9:T9)</f>
        <v>13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1455</v>
      </c>
      <c r="E11" s="145"/>
      <c r="F11" s="152" t="s">
        <v>742</v>
      </c>
      <c r="G11" s="152" t="s">
        <v>742</v>
      </c>
      <c r="H11" s="152"/>
      <c r="I11" s="152"/>
      <c r="J11" s="152"/>
      <c r="K11" s="152"/>
      <c r="L11" s="152"/>
      <c r="M11" s="152"/>
      <c r="N11" s="152"/>
      <c r="O11" s="152" t="s">
        <v>742</v>
      </c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1458</v>
      </c>
      <c r="E12" s="145"/>
      <c r="F12" s="152"/>
      <c r="G12" s="152"/>
      <c r="H12" s="152" t="s">
        <v>742</v>
      </c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1461</v>
      </c>
      <c r="E13" s="145"/>
      <c r="F13" s="152"/>
      <c r="G13" s="152"/>
      <c r="H13" s="152"/>
      <c r="I13" s="152" t="s">
        <v>742</v>
      </c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1463</v>
      </c>
      <c r="E14" s="145"/>
      <c r="F14" s="152"/>
      <c r="G14" s="152"/>
      <c r="H14" s="152"/>
      <c r="I14" s="152"/>
      <c r="J14" s="152" t="s">
        <v>742</v>
      </c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1465</v>
      </c>
      <c r="E15" s="145"/>
      <c r="F15" s="152"/>
      <c r="G15" s="152"/>
      <c r="H15" s="152"/>
      <c r="I15" s="152"/>
      <c r="J15" s="152"/>
      <c r="K15" s="152" t="s">
        <v>742</v>
      </c>
      <c r="L15" s="152" t="s">
        <v>742</v>
      </c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1468</v>
      </c>
      <c r="E16" s="145"/>
      <c r="F16" s="152"/>
      <c r="G16" s="152"/>
      <c r="H16" s="152"/>
      <c r="I16" s="152"/>
      <c r="J16" s="152"/>
      <c r="K16" s="152"/>
      <c r="L16" s="152"/>
      <c r="M16" s="152" t="s">
        <v>742</v>
      </c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1470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 t="s">
        <v>742</v>
      </c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1473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 t="s">
        <v>742</v>
      </c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1284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 t="s">
        <v>742</v>
      </c>
      <c r="R19" s="152"/>
      <c r="S19" s="152"/>
      <c r="T19" s="153"/>
    </row>
    <row r="20" ht="13.5" customHeight="1">
      <c r="A20" s="148"/>
      <c r="B20" s="149"/>
      <c r="C20" s="150"/>
      <c r="D20" s="151" t="s">
        <v>1481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 t="s">
        <v>742</v>
      </c>
      <c r="S20" s="152"/>
      <c r="T20" s="153"/>
    </row>
    <row r="21" ht="13.5" customHeight="1">
      <c r="A21" s="148"/>
      <c r="B21" s="149" t="s">
        <v>768</v>
      </c>
      <c r="C21" s="150"/>
      <c r="D21" s="151"/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1488</v>
      </c>
      <c r="E22" s="145"/>
      <c r="F22" s="152" t="s">
        <v>742</v>
      </c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1489</v>
      </c>
      <c r="E23" s="145"/>
      <c r="F23" s="152"/>
      <c r="G23" s="152" t="s">
        <v>742</v>
      </c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1492</v>
      </c>
      <c r="E24" s="145"/>
      <c r="F24" s="152"/>
      <c r="G24" s="152"/>
      <c r="H24" s="152" t="s">
        <v>742</v>
      </c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1495</v>
      </c>
      <c r="E25" s="145"/>
      <c r="F25" s="152"/>
      <c r="G25" s="152"/>
      <c r="H25" s="152"/>
      <c r="I25" s="152" t="s">
        <v>742</v>
      </c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1237</v>
      </c>
      <c r="E26" s="145"/>
      <c r="F26" s="152"/>
      <c r="G26" s="152"/>
      <c r="H26" s="152"/>
      <c r="I26" s="152"/>
      <c r="J26" s="152" t="s">
        <v>742</v>
      </c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1498</v>
      </c>
      <c r="E27" s="145"/>
      <c r="F27" s="152"/>
      <c r="G27" s="152"/>
      <c r="H27" s="152"/>
      <c r="I27" s="152"/>
      <c r="J27" s="152"/>
      <c r="K27" s="152" t="s">
        <v>742</v>
      </c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1500</v>
      </c>
      <c r="E28" s="145"/>
      <c r="F28" s="152"/>
      <c r="G28" s="152"/>
      <c r="H28" s="152"/>
      <c r="I28" s="152"/>
      <c r="J28" s="152"/>
      <c r="K28" s="152"/>
      <c r="L28" s="152" t="s">
        <v>742</v>
      </c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1502</v>
      </c>
      <c r="E29" s="145"/>
      <c r="F29" s="152"/>
      <c r="G29" s="152"/>
      <c r="H29" s="152"/>
      <c r="I29" s="152"/>
      <c r="J29" s="152"/>
      <c r="K29" s="152"/>
      <c r="L29" s="152"/>
      <c r="M29" s="152" t="s">
        <v>742</v>
      </c>
      <c r="N29" s="152"/>
      <c r="O29" s="152"/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1503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 t="s">
        <v>742</v>
      </c>
      <c r="O30" s="152"/>
      <c r="P30" s="152"/>
      <c r="Q30" s="152"/>
      <c r="R30" s="152"/>
      <c r="S30" s="152"/>
      <c r="T30" s="153"/>
    </row>
    <row r="31" ht="13.5" customHeight="1">
      <c r="A31" s="148"/>
      <c r="B31" s="149"/>
      <c r="C31" s="150"/>
      <c r="D31" s="151" t="s">
        <v>1424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 t="s">
        <v>742</v>
      </c>
      <c r="P31" s="152"/>
      <c r="Q31" s="152"/>
      <c r="R31" s="152"/>
      <c r="S31" s="152"/>
      <c r="T31" s="153"/>
    </row>
    <row r="32" ht="13.5" customHeight="1">
      <c r="A32" s="148"/>
      <c r="B32" s="149"/>
      <c r="C32" s="150"/>
      <c r="D32" s="151" t="s">
        <v>1505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 t="s">
        <v>742</v>
      </c>
      <c r="Q32" s="152"/>
      <c r="R32" s="152"/>
      <c r="S32" s="152"/>
      <c r="T32" s="153"/>
    </row>
    <row r="33" ht="13.5" customHeight="1">
      <c r="A33" s="148"/>
      <c r="B33" s="149"/>
      <c r="C33" s="150"/>
      <c r="D33" s="151" t="s">
        <v>1026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 t="s">
        <v>742</v>
      </c>
      <c r="R33" s="152"/>
      <c r="S33" s="152"/>
      <c r="T33" s="153"/>
    </row>
    <row r="34" ht="13.5" customHeight="1">
      <c r="A34" s="148"/>
      <c r="B34" s="149"/>
      <c r="C34" s="150"/>
      <c r="D34" s="151" t="s">
        <v>1024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 t="s">
        <v>742</v>
      </c>
      <c r="S34" s="152"/>
      <c r="T34" s="153"/>
    </row>
    <row r="35" ht="13.5" customHeight="1">
      <c r="A35" s="148"/>
      <c r="B35" s="154"/>
      <c r="C35" s="155"/>
      <c r="D35" s="156"/>
      <c r="E35" s="157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9"/>
    </row>
    <row r="36" ht="13.5" customHeight="1">
      <c r="A36" s="160" t="s">
        <v>802</v>
      </c>
      <c r="B36" s="161" t="s">
        <v>804</v>
      </c>
      <c r="C36" s="162"/>
      <c r="D36" s="163"/>
      <c r="E36" s="164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7"/>
    </row>
    <row r="37" ht="13.5" customHeight="1">
      <c r="A37" s="165"/>
      <c r="B37" s="166"/>
      <c r="C37" s="167"/>
      <c r="D37" s="168" t="s">
        <v>1510</v>
      </c>
      <c r="E37" s="169"/>
      <c r="F37" s="152"/>
      <c r="G37" s="152"/>
      <c r="H37" s="152" t="s">
        <v>742</v>
      </c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1511</v>
      </c>
      <c r="E38" s="169"/>
      <c r="F38" s="152"/>
      <c r="G38" s="152"/>
      <c r="H38" s="152"/>
      <c r="I38" s="152" t="s">
        <v>742</v>
      </c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1513</v>
      </c>
      <c r="E39" s="169"/>
      <c r="F39" s="152"/>
      <c r="G39" s="152"/>
      <c r="H39" s="152"/>
      <c r="I39" s="152"/>
      <c r="J39" s="152" t="s">
        <v>742</v>
      </c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1515</v>
      </c>
      <c r="E40" s="169"/>
      <c r="F40" s="152"/>
      <c r="G40" s="152"/>
      <c r="H40" s="152"/>
      <c r="I40" s="152"/>
      <c r="J40" s="152"/>
      <c r="K40" s="152" t="s">
        <v>742</v>
      </c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1517</v>
      </c>
      <c r="E41" s="169"/>
      <c r="F41" s="152"/>
      <c r="G41" s="152"/>
      <c r="H41" s="152"/>
      <c r="I41" s="152"/>
      <c r="J41" s="152"/>
      <c r="K41" s="152"/>
      <c r="L41" s="152" t="s">
        <v>742</v>
      </c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1518</v>
      </c>
      <c r="E42" s="169"/>
      <c r="F42" s="152"/>
      <c r="G42" s="152"/>
      <c r="H42" s="152"/>
      <c r="I42" s="152"/>
      <c r="J42" s="152"/>
      <c r="K42" s="152"/>
      <c r="L42" s="152"/>
      <c r="M42" s="152" t="s">
        <v>742</v>
      </c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1520</v>
      </c>
      <c r="E43" s="169"/>
      <c r="F43" s="152"/>
      <c r="G43" s="152"/>
      <c r="H43" s="152"/>
      <c r="I43" s="152"/>
      <c r="J43" s="152"/>
      <c r="K43" s="152"/>
      <c r="L43" s="152"/>
      <c r="M43" s="152"/>
      <c r="N43" s="152" t="s">
        <v>742</v>
      </c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1521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 t="s">
        <v>742</v>
      </c>
      <c r="Q44" s="152"/>
      <c r="R44" s="152"/>
      <c r="S44" s="152"/>
      <c r="T44" s="153"/>
    </row>
    <row r="45" ht="13.5" customHeight="1">
      <c r="A45" s="165"/>
      <c r="B45" s="166" t="s">
        <v>825</v>
      </c>
      <c r="C45" s="167"/>
      <c r="D45" s="168"/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3"/>
    </row>
    <row r="46" ht="13.5" customHeight="1">
      <c r="A46" s="165"/>
      <c r="B46" s="166"/>
      <c r="C46" s="167"/>
      <c r="D46" s="168" t="s">
        <v>1522</v>
      </c>
      <c r="E46" s="169"/>
      <c r="F46" s="152" t="s">
        <v>742</v>
      </c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3"/>
    </row>
    <row r="47" ht="13.5" customHeight="1">
      <c r="A47" s="165"/>
      <c r="B47" s="166"/>
      <c r="C47" s="167"/>
      <c r="D47" s="168" t="s">
        <v>1523</v>
      </c>
      <c r="E47" s="169"/>
      <c r="F47" s="152"/>
      <c r="G47" s="152" t="s">
        <v>742</v>
      </c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3"/>
    </row>
    <row r="48" ht="13.5" customHeight="1">
      <c r="A48" s="165"/>
      <c r="B48" s="166"/>
      <c r="C48" s="167"/>
      <c r="D48" s="168" t="s">
        <v>1475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 t="s">
        <v>742</v>
      </c>
      <c r="P48" s="152"/>
      <c r="Q48" s="152"/>
      <c r="R48" s="152"/>
      <c r="S48" s="152"/>
      <c r="T48" s="153"/>
    </row>
    <row r="49" ht="13.5" customHeight="1">
      <c r="A49" s="165"/>
      <c r="B49" s="166"/>
      <c r="C49" s="167"/>
      <c r="D49" s="168" t="s">
        <v>1524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 t="s">
        <v>742</v>
      </c>
      <c r="R49" s="152" t="s">
        <v>742</v>
      </c>
      <c r="S49" s="152"/>
      <c r="T49" s="153"/>
    </row>
    <row r="50" ht="13.5" customHeight="1">
      <c r="A50" s="165"/>
      <c r="B50" s="166" t="s">
        <v>854</v>
      </c>
      <c r="C50" s="167"/>
      <c r="D50" s="168"/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3"/>
    </row>
    <row r="51" ht="13.5" customHeight="1">
      <c r="A51" s="165"/>
      <c r="B51" s="170"/>
      <c r="C51" s="171"/>
      <c r="D51" s="172"/>
      <c r="E51" s="173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5"/>
    </row>
    <row r="52" ht="13.5" customHeight="1">
      <c r="A52" s="160" t="s">
        <v>865</v>
      </c>
      <c r="B52" s="176" t="s">
        <v>866</v>
      </c>
      <c r="C52" s="177"/>
      <c r="D52" s="178"/>
      <c r="E52" s="179"/>
      <c r="F52" s="180" t="s">
        <v>55</v>
      </c>
      <c r="G52" s="180" t="s">
        <v>57</v>
      </c>
      <c r="H52" s="180" t="s">
        <v>54</v>
      </c>
      <c r="I52" s="180" t="s">
        <v>54</v>
      </c>
      <c r="J52" s="180" t="s">
        <v>54</v>
      </c>
      <c r="K52" s="180" t="s">
        <v>57</v>
      </c>
      <c r="L52" s="180" t="s">
        <v>57</v>
      </c>
      <c r="M52" s="180" t="s">
        <v>54</v>
      </c>
      <c r="N52" s="180" t="s">
        <v>54</v>
      </c>
      <c r="O52" s="180" t="s">
        <v>55</v>
      </c>
      <c r="P52" s="180" t="s">
        <v>54</v>
      </c>
      <c r="Q52" s="180" t="s">
        <v>55</v>
      </c>
      <c r="R52" s="180" t="s">
        <v>55</v>
      </c>
      <c r="S52" s="180"/>
      <c r="T52" s="181"/>
    </row>
    <row r="53" ht="13.5" customHeight="1">
      <c r="A53" s="165"/>
      <c r="B53" s="182" t="s">
        <v>867</v>
      </c>
      <c r="C53" s="27"/>
      <c r="D53" s="25"/>
      <c r="E53" s="183"/>
      <c r="F53" s="184" t="s">
        <v>868</v>
      </c>
      <c r="G53" s="184" t="s">
        <v>868</v>
      </c>
      <c r="H53" s="184" t="s">
        <v>868</v>
      </c>
      <c r="I53" s="184" t="s">
        <v>868</v>
      </c>
      <c r="J53" s="184" t="s">
        <v>868</v>
      </c>
      <c r="K53" s="184" t="s">
        <v>868</v>
      </c>
      <c r="L53" s="184" t="s">
        <v>868</v>
      </c>
      <c r="M53" s="184" t="s">
        <v>868</v>
      </c>
      <c r="N53" s="184" t="s">
        <v>868</v>
      </c>
      <c r="O53" s="184" t="s">
        <v>868</v>
      </c>
      <c r="P53" s="184" t="s">
        <v>868</v>
      </c>
      <c r="Q53" s="184" t="s">
        <v>868</v>
      </c>
      <c r="R53" s="184" t="s">
        <v>868</v>
      </c>
      <c r="S53" s="184"/>
      <c r="T53" s="185"/>
    </row>
    <row r="54" ht="99.75" customHeight="1">
      <c r="A54" s="165"/>
      <c r="B54" s="186" t="s">
        <v>869</v>
      </c>
      <c r="C54" s="27"/>
      <c r="D54" s="25"/>
      <c r="E54" s="169"/>
      <c r="F54" s="187">
        <v>46217.0</v>
      </c>
      <c r="G54" s="187">
        <v>46217.0</v>
      </c>
      <c r="H54" s="187">
        <v>46217.0</v>
      </c>
      <c r="I54" s="187">
        <v>46217.0</v>
      </c>
      <c r="J54" s="187">
        <v>46217.0</v>
      </c>
      <c r="K54" s="187">
        <v>46217.0</v>
      </c>
      <c r="L54" s="187">
        <v>46217.0</v>
      </c>
      <c r="M54" s="187">
        <v>46217.0</v>
      </c>
      <c r="N54" s="187">
        <v>46217.0</v>
      </c>
      <c r="O54" s="187">
        <v>46217.0</v>
      </c>
      <c r="P54" s="187">
        <v>46217.0</v>
      </c>
      <c r="Q54" s="187">
        <v>46217.0</v>
      </c>
      <c r="R54" s="187">
        <v>46217.0</v>
      </c>
      <c r="S54" s="197"/>
      <c r="T54" s="188"/>
    </row>
    <row r="55" ht="72.75" customHeight="1">
      <c r="A55" s="190"/>
      <c r="B55" s="191" t="s">
        <v>870</v>
      </c>
      <c r="C55" s="192"/>
      <c r="D55" s="193"/>
      <c r="E55" s="194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6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52:D52"/>
    <mergeCell ref="B53:D53"/>
    <mergeCell ref="B54:D54"/>
    <mergeCell ref="B55:D55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270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276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135.0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1437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COUNTIF(F40:T40,"P")</f>
        <v>8</v>
      </c>
      <c r="B7" s="130"/>
      <c r="C7" s="131">
        <f>COUNTIF(F40:T40,"F")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COUNTIF(F39:T39,"N")</f>
        <v>3</v>
      </c>
      <c r="M7" s="132">
        <f>COUNTIF(F39:T39,"A")</f>
        <v>3</v>
      </c>
      <c r="N7" s="132">
        <f>COUNTIF(F39:T39,"B")</f>
        <v>2</v>
      </c>
      <c r="O7" s="133">
        <f>COUNTA(F9:T9)</f>
        <v>8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1467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1472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1474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1476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1479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1482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1484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1486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 t="s">
        <v>768</v>
      </c>
      <c r="C19" s="150"/>
      <c r="D19" s="151"/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1491</v>
      </c>
      <c r="E20" s="145"/>
      <c r="F20" s="152" t="s">
        <v>742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1494</v>
      </c>
      <c r="E21" s="145"/>
      <c r="F21" s="152"/>
      <c r="G21" s="152" t="s">
        <v>742</v>
      </c>
      <c r="H21" s="152" t="s">
        <v>742</v>
      </c>
      <c r="I21" s="152" t="s">
        <v>742</v>
      </c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1496</v>
      </c>
      <c r="E22" s="145"/>
      <c r="F22" s="152"/>
      <c r="G22" s="152"/>
      <c r="H22" s="152"/>
      <c r="I22" s="152"/>
      <c r="J22" s="152" t="s">
        <v>742</v>
      </c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1499</v>
      </c>
      <c r="E23" s="145"/>
      <c r="F23" s="152"/>
      <c r="G23" s="152"/>
      <c r="H23" s="152"/>
      <c r="I23" s="152"/>
      <c r="J23" s="152"/>
      <c r="K23" s="152" t="s">
        <v>742</v>
      </c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1501</v>
      </c>
      <c r="E24" s="145"/>
      <c r="F24" s="152"/>
      <c r="G24" s="152"/>
      <c r="H24" s="152"/>
      <c r="I24" s="152"/>
      <c r="J24" s="152"/>
      <c r="K24" s="152"/>
      <c r="L24" s="152" t="s">
        <v>742</v>
      </c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1504</v>
      </c>
      <c r="E25" s="145"/>
      <c r="F25" s="152"/>
      <c r="G25" s="152"/>
      <c r="H25" s="152"/>
      <c r="I25" s="152"/>
      <c r="J25" s="152"/>
      <c r="K25" s="152"/>
      <c r="L25" s="152"/>
      <c r="M25" s="152" t="s">
        <v>742</v>
      </c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54"/>
      <c r="C26" s="155"/>
      <c r="D26" s="156"/>
      <c r="E26" s="157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9"/>
    </row>
    <row r="27" ht="13.5" customHeight="1">
      <c r="A27" s="160" t="s">
        <v>802</v>
      </c>
      <c r="B27" s="161" t="s">
        <v>804</v>
      </c>
      <c r="C27" s="162"/>
      <c r="D27" s="163"/>
      <c r="E27" s="164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7"/>
    </row>
    <row r="28" ht="13.5" customHeight="1">
      <c r="A28" s="165"/>
      <c r="B28" s="166"/>
      <c r="C28" s="167"/>
      <c r="D28" s="168" t="s">
        <v>1506</v>
      </c>
      <c r="E28" s="169"/>
      <c r="F28" s="152" t="s">
        <v>742</v>
      </c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66"/>
      <c r="C29" s="167"/>
      <c r="D29" s="168" t="s">
        <v>1507</v>
      </c>
      <c r="E29" s="169"/>
      <c r="F29" s="152"/>
      <c r="G29" s="152"/>
      <c r="H29" s="152"/>
      <c r="I29" s="152"/>
      <c r="J29" s="152"/>
      <c r="K29" s="152" t="s">
        <v>742</v>
      </c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/>
      <c r="C30" s="167"/>
      <c r="D30" s="168" t="s">
        <v>1508</v>
      </c>
      <c r="E30" s="169"/>
      <c r="F30" s="152"/>
      <c r="G30" s="152"/>
      <c r="H30" s="152"/>
      <c r="I30" s="152"/>
      <c r="J30" s="152"/>
      <c r="K30" s="152"/>
      <c r="L30" s="152" t="s">
        <v>742</v>
      </c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65"/>
      <c r="B31" s="166"/>
      <c r="C31" s="167"/>
      <c r="D31" s="168" t="s">
        <v>1509</v>
      </c>
      <c r="E31" s="169"/>
      <c r="F31" s="152"/>
      <c r="G31" s="152"/>
      <c r="H31" s="152"/>
      <c r="I31" s="152"/>
      <c r="J31" s="152"/>
      <c r="K31" s="152"/>
      <c r="L31" s="152"/>
      <c r="M31" s="152" t="s">
        <v>742</v>
      </c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 t="s">
        <v>825</v>
      </c>
      <c r="C32" s="167"/>
      <c r="D32" s="168"/>
      <c r="E32" s="169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1512</v>
      </c>
      <c r="E33" s="169"/>
      <c r="F33" s="152"/>
      <c r="G33" s="152" t="s">
        <v>742</v>
      </c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1514</v>
      </c>
      <c r="E34" s="169"/>
      <c r="F34" s="152"/>
      <c r="G34" s="152"/>
      <c r="H34" s="152" t="s">
        <v>742</v>
      </c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1516</v>
      </c>
      <c r="E35" s="169"/>
      <c r="F35" s="152"/>
      <c r="G35" s="152"/>
      <c r="H35" s="152"/>
      <c r="I35" s="152" t="s">
        <v>742</v>
      </c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1519</v>
      </c>
      <c r="E36" s="169"/>
      <c r="F36" s="152"/>
      <c r="G36" s="152"/>
      <c r="H36" s="152"/>
      <c r="I36" s="152"/>
      <c r="J36" s="152" t="s">
        <v>742</v>
      </c>
      <c r="K36" s="152"/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 t="s">
        <v>854</v>
      </c>
      <c r="C37" s="167"/>
      <c r="D37" s="168"/>
      <c r="E37" s="169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70"/>
      <c r="C38" s="171"/>
      <c r="D38" s="172"/>
      <c r="E38" s="173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5"/>
    </row>
    <row r="39" ht="13.5" customHeight="1">
      <c r="A39" s="160" t="s">
        <v>865</v>
      </c>
      <c r="B39" s="176" t="s">
        <v>866</v>
      </c>
      <c r="C39" s="177"/>
      <c r="D39" s="178"/>
      <c r="E39" s="179"/>
      <c r="F39" s="180" t="s">
        <v>54</v>
      </c>
      <c r="G39" s="180" t="s">
        <v>55</v>
      </c>
      <c r="H39" s="180" t="s">
        <v>55</v>
      </c>
      <c r="I39" s="180" t="s">
        <v>55</v>
      </c>
      <c r="J39" s="180" t="s">
        <v>57</v>
      </c>
      <c r="K39" s="180" t="s">
        <v>57</v>
      </c>
      <c r="L39" s="180" t="s">
        <v>54</v>
      </c>
      <c r="M39" s="180" t="s">
        <v>54</v>
      </c>
      <c r="N39" s="180"/>
      <c r="O39" s="180"/>
      <c r="P39" s="180"/>
      <c r="Q39" s="180"/>
      <c r="R39" s="180"/>
      <c r="S39" s="180"/>
      <c r="T39" s="181"/>
    </row>
    <row r="40" ht="13.5" customHeight="1">
      <c r="A40" s="165"/>
      <c r="B40" s="182" t="s">
        <v>867</v>
      </c>
      <c r="C40" s="27"/>
      <c r="D40" s="25"/>
      <c r="E40" s="183"/>
      <c r="F40" s="184" t="s">
        <v>868</v>
      </c>
      <c r="G40" s="184" t="s">
        <v>868</v>
      </c>
      <c r="H40" s="184" t="s">
        <v>868</v>
      </c>
      <c r="I40" s="184" t="s">
        <v>868</v>
      </c>
      <c r="J40" s="184" t="s">
        <v>868</v>
      </c>
      <c r="K40" s="184" t="s">
        <v>868</v>
      </c>
      <c r="L40" s="184" t="s">
        <v>868</v>
      </c>
      <c r="M40" s="184" t="s">
        <v>868</v>
      </c>
      <c r="N40" s="184"/>
      <c r="O40" s="184"/>
      <c r="P40" s="184"/>
      <c r="Q40" s="184"/>
      <c r="R40" s="184"/>
      <c r="S40" s="184"/>
      <c r="T40" s="185"/>
    </row>
    <row r="41" ht="99.75" customHeight="1">
      <c r="A41" s="165"/>
      <c r="B41" s="186" t="s">
        <v>869</v>
      </c>
      <c r="C41" s="27"/>
      <c r="D41" s="25"/>
      <c r="E41" s="169"/>
      <c r="F41" s="187">
        <v>46245.0</v>
      </c>
      <c r="G41" s="187">
        <v>46245.0</v>
      </c>
      <c r="H41" s="187">
        <v>46245.0</v>
      </c>
      <c r="I41" s="187">
        <v>46245.0</v>
      </c>
      <c r="J41" s="187">
        <v>46245.0</v>
      </c>
      <c r="K41" s="187">
        <v>46245.0</v>
      </c>
      <c r="L41" s="187">
        <v>46245.0</v>
      </c>
      <c r="M41" s="187">
        <v>46245.0</v>
      </c>
      <c r="N41" s="197"/>
      <c r="O41" s="197"/>
      <c r="P41" s="197"/>
      <c r="Q41" s="197"/>
      <c r="R41" s="197"/>
      <c r="S41" s="197"/>
      <c r="T41" s="188"/>
    </row>
    <row r="42" ht="72.75" customHeight="1">
      <c r="A42" s="190"/>
      <c r="B42" s="191" t="s">
        <v>870</v>
      </c>
      <c r="C42" s="192"/>
      <c r="D42" s="193"/>
      <c r="E42" s="194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6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2" width="3.57"/>
    <col customWidth="1" min="23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 ht="13.5" customHeight="1">
      <c r="A2" s="111" t="s">
        <v>707</v>
      </c>
      <c r="B2" s="112"/>
      <c r="C2" s="113" t="s">
        <v>273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285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  <c r="U3" s="27"/>
      <c r="V3" s="27"/>
    </row>
    <row r="4" ht="13.5" customHeight="1">
      <c r="A4" s="117" t="s">
        <v>711</v>
      </c>
      <c r="B4" s="27"/>
      <c r="C4" s="122">
        <v>49.0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</row>
    <row r="5" ht="13.5" customHeight="1">
      <c r="A5" s="117" t="s">
        <v>713</v>
      </c>
      <c r="B5" s="27"/>
      <c r="C5" s="124" t="s">
        <v>1525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</row>
    <row r="7" ht="13.5" customHeight="1">
      <c r="A7" s="129">
        <f>COUNTIF(F59:V59,"P")</f>
        <v>17</v>
      </c>
      <c r="B7" s="130"/>
      <c r="C7" s="131">
        <f>COUNTIF(F59:V59,"F")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COUNTIF(F58:V58,"N")</f>
        <v>5</v>
      </c>
      <c r="M7" s="132">
        <f>COUNTIF(F58:V58,"A")</f>
        <v>7</v>
      </c>
      <c r="N7" s="132">
        <f>COUNTIF(F58:V58,"B")</f>
        <v>5</v>
      </c>
      <c r="O7" s="133">
        <f>COUNTA(F9:V9)</f>
        <v>17</v>
      </c>
      <c r="P7" s="130"/>
      <c r="Q7" s="130"/>
      <c r="R7" s="130"/>
      <c r="S7" s="130"/>
      <c r="T7" s="130"/>
      <c r="U7" s="130"/>
      <c r="V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40" t="s">
        <v>732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7"/>
    </row>
    <row r="11" ht="13.5" customHeight="1">
      <c r="A11" s="148"/>
      <c r="B11" s="149"/>
      <c r="C11" s="150"/>
      <c r="D11" s="151" t="s">
        <v>1528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3"/>
    </row>
    <row r="12" ht="13.5" customHeight="1">
      <c r="A12" s="148"/>
      <c r="B12" s="149"/>
      <c r="C12" s="150"/>
      <c r="D12" s="151" t="s">
        <v>1529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3"/>
    </row>
    <row r="13" ht="13.5" customHeight="1">
      <c r="A13" s="148"/>
      <c r="B13" s="149"/>
      <c r="C13" s="150"/>
      <c r="D13" s="151" t="s">
        <v>1404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 t="s">
        <v>742</v>
      </c>
      <c r="U13" s="152"/>
      <c r="V13" s="153"/>
    </row>
    <row r="14" ht="13.5" customHeight="1">
      <c r="A14" s="148"/>
      <c r="B14" s="149"/>
      <c r="C14" s="150"/>
      <c r="D14" s="151" t="s">
        <v>1530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 t="s">
        <v>742</v>
      </c>
      <c r="T14" s="152"/>
      <c r="U14" s="152"/>
      <c r="V14" s="153"/>
    </row>
    <row r="15" ht="13.5" customHeight="1">
      <c r="A15" s="148"/>
      <c r="B15" s="149"/>
      <c r="C15" s="150"/>
      <c r="D15" s="151" t="s">
        <v>1531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3"/>
    </row>
    <row r="16" ht="13.5" customHeight="1">
      <c r="A16" s="148"/>
      <c r="B16" s="149"/>
      <c r="C16" s="150"/>
      <c r="D16" s="151" t="s">
        <v>1532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3"/>
    </row>
    <row r="17" ht="13.5" customHeight="1">
      <c r="A17" s="148"/>
      <c r="B17" s="149"/>
      <c r="C17" s="150"/>
      <c r="D17" s="151" t="s">
        <v>1534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3"/>
    </row>
    <row r="18" ht="13.5" customHeight="1">
      <c r="A18" s="148"/>
      <c r="B18" s="149"/>
      <c r="C18" s="150"/>
      <c r="D18" s="151" t="s">
        <v>1536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2"/>
      <c r="U18" s="152"/>
      <c r="V18" s="153"/>
    </row>
    <row r="19" ht="13.5" customHeight="1">
      <c r="A19" s="148"/>
      <c r="B19" s="149"/>
      <c r="C19" s="150"/>
      <c r="D19" s="151" t="s">
        <v>1538</v>
      </c>
      <c r="E19" s="145"/>
      <c r="F19" s="152"/>
      <c r="G19" s="152"/>
      <c r="H19" s="152"/>
      <c r="I19" s="152"/>
      <c r="J19" s="152"/>
      <c r="K19" s="152"/>
      <c r="L19" s="152"/>
      <c r="M19" s="152" t="s">
        <v>742</v>
      </c>
      <c r="N19" s="152"/>
      <c r="O19" s="152"/>
      <c r="P19" s="152"/>
      <c r="Q19" s="152"/>
      <c r="R19" s="152"/>
      <c r="S19" s="152"/>
      <c r="T19" s="152"/>
      <c r="U19" s="152"/>
      <c r="V19" s="153"/>
    </row>
    <row r="20" ht="13.5" customHeight="1">
      <c r="A20" s="148"/>
      <c r="B20" s="149"/>
      <c r="C20" s="150"/>
      <c r="D20" s="151" t="s">
        <v>1539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 t="s">
        <v>742</v>
      </c>
      <c r="O20" s="152"/>
      <c r="P20" s="152"/>
      <c r="Q20" s="152"/>
      <c r="R20" s="152"/>
      <c r="S20" s="152"/>
      <c r="T20" s="152"/>
      <c r="U20" s="152"/>
      <c r="V20" s="153"/>
    </row>
    <row r="21" ht="13.5" customHeight="1">
      <c r="A21" s="148"/>
      <c r="B21" s="149"/>
      <c r="C21" s="150"/>
      <c r="D21" s="151" t="s">
        <v>1541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 t="s">
        <v>742</v>
      </c>
      <c r="P21" s="152"/>
      <c r="Q21" s="152"/>
      <c r="R21" s="152"/>
      <c r="S21" s="152"/>
      <c r="T21" s="152"/>
      <c r="U21" s="152"/>
      <c r="V21" s="153"/>
    </row>
    <row r="22" ht="13.5" customHeight="1">
      <c r="A22" s="148"/>
      <c r="B22" s="149"/>
      <c r="C22" s="150"/>
      <c r="D22" s="151" t="s">
        <v>1543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 t="s">
        <v>742</v>
      </c>
      <c r="Q22" s="152"/>
      <c r="R22" s="152"/>
      <c r="S22" s="152"/>
      <c r="T22" s="152"/>
      <c r="U22" s="152"/>
      <c r="V22" s="153"/>
    </row>
    <row r="23" ht="13.5" customHeight="1">
      <c r="A23" s="148"/>
      <c r="B23" s="149"/>
      <c r="C23" s="150"/>
      <c r="D23" s="151" t="s">
        <v>1544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 t="s">
        <v>742</v>
      </c>
      <c r="R23" s="152" t="s">
        <v>742</v>
      </c>
      <c r="S23" s="152"/>
      <c r="T23" s="152"/>
      <c r="U23" s="152"/>
      <c r="V23" s="153"/>
    </row>
    <row r="24" ht="13.5" customHeight="1">
      <c r="A24" s="148"/>
      <c r="B24" s="149"/>
      <c r="C24" s="150"/>
      <c r="D24" s="151" t="s">
        <v>1547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 t="s">
        <v>742</v>
      </c>
      <c r="V24" s="153" t="s">
        <v>742</v>
      </c>
    </row>
    <row r="25" ht="13.5" customHeight="1">
      <c r="A25" s="148"/>
      <c r="B25" s="149" t="s">
        <v>768</v>
      </c>
      <c r="C25" s="150"/>
      <c r="D25" s="151"/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3"/>
    </row>
    <row r="26" ht="13.5" customHeight="1">
      <c r="A26" s="148"/>
      <c r="B26" s="149"/>
      <c r="C26" s="150"/>
      <c r="D26" s="151" t="s">
        <v>1551</v>
      </c>
      <c r="E26" s="145"/>
      <c r="F26" s="152" t="s">
        <v>742</v>
      </c>
      <c r="G26" s="152" t="s">
        <v>742</v>
      </c>
      <c r="H26" s="152" t="s">
        <v>742</v>
      </c>
      <c r="I26" s="152" t="s">
        <v>742</v>
      </c>
      <c r="J26" s="152" t="s">
        <v>742</v>
      </c>
      <c r="K26" s="152" t="s">
        <v>742</v>
      </c>
      <c r="L26" s="152" t="s">
        <v>742</v>
      </c>
      <c r="M26" s="152"/>
      <c r="N26" s="152"/>
      <c r="O26" s="152"/>
      <c r="P26" s="152"/>
      <c r="Q26" s="152"/>
      <c r="R26" s="152"/>
      <c r="S26" s="152"/>
      <c r="T26" s="152"/>
      <c r="U26" s="152"/>
      <c r="V26" s="153"/>
    </row>
    <row r="27" ht="13.5" customHeight="1">
      <c r="A27" s="148"/>
      <c r="B27" s="149"/>
      <c r="C27" s="150"/>
      <c r="D27" s="151" t="s">
        <v>1552</v>
      </c>
      <c r="E27" s="145"/>
      <c r="F27" s="152"/>
      <c r="G27" s="152"/>
      <c r="H27" s="152"/>
      <c r="I27" s="152"/>
      <c r="J27" s="152"/>
      <c r="K27" s="152"/>
      <c r="L27" s="152"/>
      <c r="M27" s="152" t="s">
        <v>742</v>
      </c>
      <c r="N27" s="152"/>
      <c r="O27" s="152"/>
      <c r="P27" s="152"/>
      <c r="Q27" s="152"/>
      <c r="R27" s="152"/>
      <c r="S27" s="152"/>
      <c r="T27" s="152"/>
      <c r="U27" s="152"/>
      <c r="V27" s="153"/>
    </row>
    <row r="28" ht="13.5" customHeight="1">
      <c r="A28" s="148"/>
      <c r="B28" s="149"/>
      <c r="C28" s="150"/>
      <c r="D28" s="151" t="s">
        <v>1554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 t="s">
        <v>742</v>
      </c>
      <c r="O28" s="152"/>
      <c r="P28" s="152"/>
      <c r="Q28" s="152"/>
      <c r="R28" s="152"/>
      <c r="S28" s="152"/>
      <c r="T28" s="152"/>
      <c r="U28" s="152"/>
      <c r="V28" s="153"/>
    </row>
    <row r="29" ht="13.5" customHeight="1">
      <c r="A29" s="148"/>
      <c r="B29" s="149"/>
      <c r="C29" s="150"/>
      <c r="D29" s="151" t="s">
        <v>1557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 t="s">
        <v>742</v>
      </c>
      <c r="P29" s="152"/>
      <c r="Q29" s="152"/>
      <c r="R29" s="152"/>
      <c r="S29" s="152" t="s">
        <v>742</v>
      </c>
      <c r="T29" s="152"/>
      <c r="U29" s="152"/>
      <c r="V29" s="153"/>
    </row>
    <row r="30" ht="13.5" customHeight="1">
      <c r="A30" s="148"/>
      <c r="B30" s="149"/>
      <c r="C30" s="150"/>
      <c r="D30" s="151" t="s">
        <v>1558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 t="s">
        <v>742</v>
      </c>
      <c r="Q30" s="152"/>
      <c r="R30" s="152"/>
      <c r="S30" s="152"/>
      <c r="T30" s="152"/>
      <c r="U30" s="152"/>
      <c r="V30" s="153"/>
    </row>
    <row r="31" ht="13.5" customHeight="1">
      <c r="A31" s="148"/>
      <c r="B31" s="149"/>
      <c r="C31" s="150"/>
      <c r="D31" s="151" t="s">
        <v>1560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 t="s">
        <v>742</v>
      </c>
      <c r="R31" s="152"/>
      <c r="S31" s="152"/>
      <c r="T31" s="152"/>
      <c r="U31" s="152"/>
      <c r="V31" s="153"/>
    </row>
    <row r="32" ht="13.5" customHeight="1">
      <c r="A32" s="148"/>
      <c r="B32" s="149"/>
      <c r="C32" s="150"/>
      <c r="D32" s="151" t="s">
        <v>1562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 t="s">
        <v>742</v>
      </c>
      <c r="S32" s="152"/>
      <c r="T32" s="152"/>
      <c r="U32" s="152"/>
      <c r="V32" s="153"/>
    </row>
    <row r="33" ht="13.5" customHeight="1">
      <c r="A33" s="148"/>
      <c r="B33" s="149"/>
      <c r="C33" s="150"/>
      <c r="D33" s="151" t="s">
        <v>1563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 t="s">
        <v>742</v>
      </c>
      <c r="U33" s="152"/>
      <c r="V33" s="153"/>
    </row>
    <row r="34" ht="13.5" customHeight="1">
      <c r="A34" s="148"/>
      <c r="B34" s="149"/>
      <c r="C34" s="150"/>
      <c r="D34" s="151" t="s">
        <v>1565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 t="s">
        <v>742</v>
      </c>
      <c r="V34" s="153"/>
    </row>
    <row r="35" ht="13.5" customHeight="1">
      <c r="A35" s="148"/>
      <c r="B35" s="149"/>
      <c r="C35" s="150"/>
      <c r="D35" s="151" t="s">
        <v>1567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3" t="s">
        <v>742</v>
      </c>
    </row>
    <row r="36" ht="13.5" customHeight="1">
      <c r="A36" s="148"/>
      <c r="B36" s="154"/>
      <c r="C36" s="155"/>
      <c r="D36" s="156"/>
      <c r="E36" s="157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9"/>
    </row>
    <row r="37" ht="13.5" customHeight="1">
      <c r="A37" s="160" t="s">
        <v>802</v>
      </c>
      <c r="B37" s="161" t="s">
        <v>804</v>
      </c>
      <c r="C37" s="162"/>
      <c r="D37" s="163"/>
      <c r="E37" s="164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7"/>
    </row>
    <row r="38" ht="13.5" customHeight="1">
      <c r="A38" s="165"/>
      <c r="B38" s="166"/>
      <c r="C38" s="167"/>
      <c r="D38" s="168" t="s">
        <v>1575</v>
      </c>
      <c r="E38" s="169"/>
      <c r="F38" s="152" t="s">
        <v>742</v>
      </c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3"/>
    </row>
    <row r="39" ht="13.5" customHeight="1">
      <c r="A39" s="165"/>
      <c r="B39" s="166"/>
      <c r="C39" s="167"/>
      <c r="D39" s="168" t="s">
        <v>1576</v>
      </c>
      <c r="E39" s="169"/>
      <c r="F39" s="152"/>
      <c r="G39" s="152" t="s">
        <v>742</v>
      </c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3"/>
    </row>
    <row r="40" ht="13.5" customHeight="1">
      <c r="A40" s="165"/>
      <c r="B40" s="166"/>
      <c r="C40" s="167"/>
      <c r="D40" s="168" t="s">
        <v>1577</v>
      </c>
      <c r="E40" s="169"/>
      <c r="F40" s="152"/>
      <c r="G40" s="152"/>
      <c r="H40" s="152"/>
      <c r="I40" s="152"/>
      <c r="J40" s="152" t="s">
        <v>742</v>
      </c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3"/>
    </row>
    <row r="41" ht="13.5" customHeight="1">
      <c r="A41" s="165"/>
      <c r="B41" s="166"/>
      <c r="C41" s="167"/>
      <c r="D41" s="168" t="s">
        <v>1579</v>
      </c>
      <c r="E41" s="169"/>
      <c r="F41" s="152"/>
      <c r="G41" s="152"/>
      <c r="H41" s="152"/>
      <c r="I41" s="152"/>
      <c r="J41" s="152"/>
      <c r="K41" s="152" t="s">
        <v>742</v>
      </c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3"/>
    </row>
    <row r="42" ht="13.5" customHeight="1">
      <c r="A42" s="165"/>
      <c r="B42" s="166"/>
      <c r="C42" s="167"/>
      <c r="D42" s="168" t="s">
        <v>1580</v>
      </c>
      <c r="E42" s="169"/>
      <c r="F42" s="152"/>
      <c r="G42" s="152"/>
      <c r="H42" s="152"/>
      <c r="I42" s="152"/>
      <c r="J42" s="152"/>
      <c r="K42" s="152"/>
      <c r="L42" s="152" t="s">
        <v>742</v>
      </c>
      <c r="M42" s="152"/>
      <c r="N42" s="152"/>
      <c r="O42" s="152"/>
      <c r="P42" s="152"/>
      <c r="Q42" s="152"/>
      <c r="R42" s="152"/>
      <c r="S42" s="152"/>
      <c r="T42" s="152"/>
      <c r="U42" s="152"/>
      <c r="V42" s="153"/>
    </row>
    <row r="43" ht="13.5" customHeight="1">
      <c r="A43" s="165"/>
      <c r="B43" s="166"/>
      <c r="C43" s="167"/>
      <c r="D43" s="168" t="s">
        <v>1582</v>
      </c>
      <c r="E43" s="169"/>
      <c r="F43" s="152"/>
      <c r="G43" s="152"/>
      <c r="H43" s="152"/>
      <c r="I43" s="152"/>
      <c r="J43" s="152"/>
      <c r="K43" s="152"/>
      <c r="L43" s="152"/>
      <c r="M43" s="152" t="s">
        <v>742</v>
      </c>
      <c r="N43" s="152"/>
      <c r="O43" s="152"/>
      <c r="P43" s="152"/>
      <c r="Q43" s="152"/>
      <c r="R43" s="152"/>
      <c r="S43" s="152"/>
      <c r="T43" s="152"/>
      <c r="U43" s="152"/>
      <c r="V43" s="153"/>
    </row>
    <row r="44" ht="13.5" customHeight="1">
      <c r="A44" s="165"/>
      <c r="B44" s="166"/>
      <c r="C44" s="167"/>
      <c r="D44" s="168" t="s">
        <v>1585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 t="s">
        <v>742</v>
      </c>
      <c r="Q44" s="152"/>
      <c r="R44" s="152"/>
      <c r="S44" s="152"/>
      <c r="T44" s="152"/>
      <c r="U44" s="152"/>
      <c r="V44" s="153"/>
    </row>
    <row r="45" ht="13.5" customHeight="1">
      <c r="A45" s="165"/>
      <c r="B45" s="166"/>
      <c r="C45" s="167"/>
      <c r="D45" s="168" t="s">
        <v>817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 t="s">
        <v>742</v>
      </c>
      <c r="V45" s="153"/>
    </row>
    <row r="46" ht="13.5" customHeight="1">
      <c r="A46" s="165"/>
      <c r="B46" s="166" t="s">
        <v>825</v>
      </c>
      <c r="C46" s="167"/>
      <c r="D46" s="168"/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3"/>
    </row>
    <row r="47" ht="13.5" customHeight="1">
      <c r="A47" s="165"/>
      <c r="B47" s="166"/>
      <c r="C47" s="167"/>
      <c r="D47" s="168" t="s">
        <v>1589</v>
      </c>
      <c r="E47" s="169"/>
      <c r="F47" s="152"/>
      <c r="G47" s="152"/>
      <c r="H47" s="152" t="s">
        <v>742</v>
      </c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3"/>
    </row>
    <row r="48" ht="13.5" customHeight="1">
      <c r="A48" s="165"/>
      <c r="B48" s="166"/>
      <c r="C48" s="167"/>
      <c r="D48" s="168" t="s">
        <v>1524</v>
      </c>
      <c r="E48" s="169"/>
      <c r="F48" s="152"/>
      <c r="G48" s="152"/>
      <c r="H48" s="152"/>
      <c r="I48" s="152" t="s">
        <v>742</v>
      </c>
      <c r="J48" s="152"/>
      <c r="K48" s="152"/>
      <c r="L48" s="152"/>
      <c r="M48" s="152"/>
      <c r="N48" s="152"/>
      <c r="O48" s="152"/>
      <c r="P48" s="152"/>
      <c r="Q48" s="152"/>
      <c r="R48" s="152"/>
      <c r="S48" s="152" t="s">
        <v>742</v>
      </c>
      <c r="T48" s="152"/>
      <c r="U48" s="152"/>
      <c r="V48" s="153"/>
    </row>
    <row r="49" ht="13.5" customHeight="1">
      <c r="A49" s="165"/>
      <c r="B49" s="166"/>
      <c r="C49" s="167"/>
      <c r="D49" s="168" t="s">
        <v>1592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 t="s">
        <v>742</v>
      </c>
      <c r="O49" s="152"/>
      <c r="P49" s="152"/>
      <c r="Q49" s="152"/>
      <c r="R49" s="152"/>
      <c r="S49" s="152"/>
      <c r="T49" s="152"/>
      <c r="U49" s="152"/>
      <c r="V49" s="153"/>
    </row>
    <row r="50" ht="13.5" customHeight="1">
      <c r="A50" s="165"/>
      <c r="B50" s="166"/>
      <c r="C50" s="167"/>
      <c r="D50" s="168" t="s">
        <v>1593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 t="s">
        <v>742</v>
      </c>
      <c r="P50" s="152"/>
      <c r="Q50" s="152"/>
      <c r="R50" s="152"/>
      <c r="S50" s="152"/>
      <c r="T50" s="152"/>
      <c r="U50" s="152"/>
      <c r="V50" s="153"/>
    </row>
    <row r="51" ht="13.5" customHeight="1">
      <c r="A51" s="165"/>
      <c r="B51" s="166"/>
      <c r="C51" s="167"/>
      <c r="D51" s="168" t="s">
        <v>1596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 t="s">
        <v>742</v>
      </c>
      <c r="R51" s="152"/>
      <c r="S51" s="152"/>
      <c r="T51" s="152"/>
      <c r="U51" s="152"/>
      <c r="V51" s="153"/>
    </row>
    <row r="52" ht="13.5" customHeight="1">
      <c r="A52" s="165"/>
      <c r="B52" s="166"/>
      <c r="C52" s="167"/>
      <c r="D52" s="168" t="s">
        <v>1598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 t="s">
        <v>742</v>
      </c>
      <c r="S52" s="152"/>
      <c r="T52" s="152"/>
      <c r="U52" s="152"/>
      <c r="V52" s="153"/>
    </row>
    <row r="53" ht="13.5" customHeight="1">
      <c r="A53" s="165"/>
      <c r="B53" s="166"/>
      <c r="C53" s="167"/>
      <c r="D53" s="168" t="s">
        <v>1601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 t="s">
        <v>742</v>
      </c>
      <c r="U53" s="152"/>
      <c r="V53" s="153"/>
    </row>
    <row r="54" ht="13.5" customHeight="1">
      <c r="A54" s="165"/>
      <c r="B54" s="166"/>
      <c r="C54" s="167"/>
      <c r="D54" s="168" t="s">
        <v>1603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3" t="s">
        <v>742</v>
      </c>
    </row>
    <row r="55" ht="13.5" customHeight="1">
      <c r="A55" s="165"/>
      <c r="B55" s="166" t="s">
        <v>854</v>
      </c>
      <c r="C55" s="167"/>
      <c r="D55" s="168"/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3"/>
    </row>
    <row r="56" ht="13.5" customHeight="1">
      <c r="A56" s="165"/>
      <c r="B56" s="166"/>
      <c r="C56" s="167"/>
      <c r="D56" s="168" t="s">
        <v>1607</v>
      </c>
      <c r="E56" s="169"/>
      <c r="F56" s="152" t="s">
        <v>742</v>
      </c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3"/>
    </row>
    <row r="57" ht="13.5" customHeight="1">
      <c r="A57" s="165"/>
      <c r="B57" s="170"/>
      <c r="C57" s="171"/>
      <c r="D57" s="172"/>
      <c r="E57" s="173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5"/>
    </row>
    <row r="58" ht="13.5" customHeight="1">
      <c r="A58" s="160" t="s">
        <v>865</v>
      </c>
      <c r="B58" s="176" t="s">
        <v>866</v>
      </c>
      <c r="C58" s="177"/>
      <c r="D58" s="178"/>
      <c r="E58" s="179"/>
      <c r="F58" s="180" t="s">
        <v>54</v>
      </c>
      <c r="G58" s="180" t="s">
        <v>54</v>
      </c>
      <c r="H58" s="180" t="s">
        <v>55</v>
      </c>
      <c r="I58" s="180" t="s">
        <v>55</v>
      </c>
      <c r="J58" s="180" t="s">
        <v>54</v>
      </c>
      <c r="K58" s="180" t="s">
        <v>57</v>
      </c>
      <c r="L58" s="180" t="s">
        <v>54</v>
      </c>
      <c r="M58" s="180" t="s">
        <v>54</v>
      </c>
      <c r="N58" s="180" t="s">
        <v>55</v>
      </c>
      <c r="O58" s="180" t="s">
        <v>57</v>
      </c>
      <c r="P58" s="180" t="s">
        <v>57</v>
      </c>
      <c r="Q58" s="180" t="s">
        <v>55</v>
      </c>
      <c r="R58" s="180" t="s">
        <v>55</v>
      </c>
      <c r="S58" s="180" t="s">
        <v>55</v>
      </c>
      <c r="T58" s="180" t="s">
        <v>55</v>
      </c>
      <c r="U58" s="180" t="s">
        <v>57</v>
      </c>
      <c r="V58" s="181" t="s">
        <v>57</v>
      </c>
    </row>
    <row r="59" ht="13.5" customHeight="1">
      <c r="A59" s="165"/>
      <c r="B59" s="182" t="s">
        <v>867</v>
      </c>
      <c r="C59" s="27"/>
      <c r="D59" s="25"/>
      <c r="E59" s="183"/>
      <c r="F59" s="184" t="s">
        <v>868</v>
      </c>
      <c r="G59" s="184" t="s">
        <v>868</v>
      </c>
      <c r="H59" s="184" t="s">
        <v>868</v>
      </c>
      <c r="I59" s="184" t="s">
        <v>868</v>
      </c>
      <c r="J59" s="184" t="s">
        <v>868</v>
      </c>
      <c r="K59" s="184" t="s">
        <v>868</v>
      </c>
      <c r="L59" s="184" t="s">
        <v>868</v>
      </c>
      <c r="M59" s="184" t="s">
        <v>868</v>
      </c>
      <c r="N59" s="184" t="s">
        <v>868</v>
      </c>
      <c r="O59" s="184" t="s">
        <v>868</v>
      </c>
      <c r="P59" s="184" t="s">
        <v>868</v>
      </c>
      <c r="Q59" s="184" t="s">
        <v>868</v>
      </c>
      <c r="R59" s="184" t="s">
        <v>868</v>
      </c>
      <c r="S59" s="184" t="s">
        <v>868</v>
      </c>
      <c r="T59" s="184" t="s">
        <v>868</v>
      </c>
      <c r="U59" s="184" t="s">
        <v>868</v>
      </c>
      <c r="V59" s="185" t="s">
        <v>868</v>
      </c>
    </row>
    <row r="60" ht="99.75" customHeight="1">
      <c r="A60" s="165"/>
      <c r="B60" s="186" t="s">
        <v>869</v>
      </c>
      <c r="C60" s="27"/>
      <c r="D60" s="25"/>
      <c r="E60" s="169"/>
      <c r="F60" s="187">
        <v>46265.0</v>
      </c>
      <c r="G60" s="187">
        <v>46265.0</v>
      </c>
      <c r="H60" s="187">
        <v>46265.0</v>
      </c>
      <c r="I60" s="187">
        <v>46265.0</v>
      </c>
      <c r="J60" s="187">
        <v>46265.0</v>
      </c>
      <c r="K60" s="187">
        <v>46265.0</v>
      </c>
      <c r="L60" s="187">
        <v>46265.0</v>
      </c>
      <c r="M60" s="187">
        <v>46265.0</v>
      </c>
      <c r="N60" s="187">
        <v>46265.0</v>
      </c>
      <c r="O60" s="187">
        <v>46265.0</v>
      </c>
      <c r="P60" s="187">
        <v>46265.0</v>
      </c>
      <c r="Q60" s="187">
        <v>46265.0</v>
      </c>
      <c r="R60" s="187">
        <v>46265.0</v>
      </c>
      <c r="S60" s="187">
        <v>46265.0</v>
      </c>
      <c r="T60" s="187">
        <v>46265.0</v>
      </c>
      <c r="U60" s="187">
        <v>46265.0</v>
      </c>
      <c r="V60" s="189">
        <v>46265.0</v>
      </c>
    </row>
    <row r="61" ht="72.75" customHeight="1">
      <c r="A61" s="190"/>
      <c r="B61" s="191" t="s">
        <v>870</v>
      </c>
      <c r="C61" s="192"/>
      <c r="D61" s="193"/>
      <c r="E61" s="194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6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V4"/>
    <mergeCell ref="C5:V5"/>
    <mergeCell ref="A2:B2"/>
    <mergeCell ref="C2:E2"/>
    <mergeCell ref="F2:K2"/>
    <mergeCell ref="L2:V2"/>
    <mergeCell ref="C3:E3"/>
    <mergeCell ref="F3:K3"/>
    <mergeCell ref="L3:V3"/>
    <mergeCell ref="F6:K6"/>
    <mergeCell ref="L6:N6"/>
    <mergeCell ref="O6:V6"/>
    <mergeCell ref="A7:B7"/>
    <mergeCell ref="C7:E7"/>
    <mergeCell ref="F7:K7"/>
    <mergeCell ref="O7:V7"/>
    <mergeCell ref="B58:D58"/>
    <mergeCell ref="B59:D59"/>
    <mergeCell ref="B60:D60"/>
    <mergeCell ref="B61:D61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3" width="3.57"/>
    <col customWidth="1" min="24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ht="13.5" customHeight="1">
      <c r="A2" s="111" t="s">
        <v>707</v>
      </c>
      <c r="B2" s="112"/>
      <c r="C2" s="113" t="s">
        <v>282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293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ht="13.5" customHeight="1">
      <c r="A4" s="117" t="s">
        <v>711</v>
      </c>
      <c r="B4" s="27"/>
      <c r="C4" s="122">
        <v>82.0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ht="13.5" customHeight="1">
      <c r="A5" s="117" t="s">
        <v>713</v>
      </c>
      <c r="B5" s="27"/>
      <c r="C5" s="124" t="s">
        <v>1526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</row>
    <row r="7" ht="13.5" customHeight="1">
      <c r="A7" s="129">
        <f>COUNTIF(F62:W62,"P")</f>
        <v>18</v>
      </c>
      <c r="B7" s="130"/>
      <c r="C7" s="131">
        <f>COUNTIF(F62:W62,"F")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COUNTIF(F61:W61,"N")</f>
        <v>5</v>
      </c>
      <c r="M7" s="132">
        <f>COUNTIF(F61:W61,"A")</f>
        <v>8</v>
      </c>
      <c r="N7" s="132">
        <f>COUNTIF(F61:W61,"B")</f>
        <v>5</v>
      </c>
      <c r="O7" s="133">
        <f>COUNTA(F9:W9)</f>
        <v>18</v>
      </c>
      <c r="P7" s="130"/>
      <c r="Q7" s="130"/>
      <c r="R7" s="130"/>
      <c r="S7" s="130"/>
      <c r="T7" s="130"/>
      <c r="U7" s="130"/>
      <c r="V7" s="130"/>
      <c r="W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40" t="s">
        <v>733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7"/>
    </row>
    <row r="11" ht="13.5" customHeight="1">
      <c r="A11" s="148"/>
      <c r="B11" s="149"/>
      <c r="C11" s="150"/>
      <c r="D11" s="151" t="s">
        <v>1535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3"/>
    </row>
    <row r="12" ht="13.5" customHeight="1">
      <c r="A12" s="148"/>
      <c r="B12" s="149"/>
      <c r="C12" s="150"/>
      <c r="D12" s="151" t="s">
        <v>1537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3"/>
    </row>
    <row r="13" ht="13.5" customHeight="1">
      <c r="A13" s="148"/>
      <c r="B13" s="149"/>
      <c r="C13" s="150"/>
      <c r="D13" s="151" t="s">
        <v>1542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3"/>
    </row>
    <row r="14" ht="13.5" customHeight="1">
      <c r="A14" s="148"/>
      <c r="B14" s="149"/>
      <c r="C14" s="150"/>
      <c r="D14" s="151" t="s">
        <v>1545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3"/>
    </row>
    <row r="15" ht="13.5" customHeight="1">
      <c r="A15" s="148"/>
      <c r="B15" s="149"/>
      <c r="C15" s="150"/>
      <c r="D15" s="151" t="s">
        <v>1404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3"/>
    </row>
    <row r="16" ht="13.5" customHeight="1">
      <c r="A16" s="148"/>
      <c r="B16" s="149"/>
      <c r="C16" s="150"/>
      <c r="D16" s="151" t="s">
        <v>1550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3"/>
    </row>
    <row r="17" ht="13.5" customHeight="1">
      <c r="A17" s="148"/>
      <c r="B17" s="149"/>
      <c r="C17" s="150"/>
      <c r="D17" s="151" t="s">
        <v>1553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 t="s">
        <v>742</v>
      </c>
      <c r="N17" s="152"/>
      <c r="O17" s="152"/>
      <c r="P17" s="152"/>
      <c r="Q17" s="152"/>
      <c r="R17" s="152"/>
      <c r="S17" s="152"/>
      <c r="T17" s="152"/>
      <c r="U17" s="152"/>
      <c r="V17" s="152"/>
      <c r="W17" s="153"/>
    </row>
    <row r="18" ht="13.5" customHeight="1">
      <c r="A18" s="148"/>
      <c r="B18" s="149"/>
      <c r="C18" s="150"/>
      <c r="D18" s="151" t="s">
        <v>1555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 t="s">
        <v>742</v>
      </c>
      <c r="O18" s="152"/>
      <c r="P18" s="152"/>
      <c r="Q18" s="152"/>
      <c r="R18" s="152"/>
      <c r="S18" s="152"/>
      <c r="T18" s="152"/>
      <c r="U18" s="152"/>
      <c r="V18" s="152"/>
      <c r="W18" s="153"/>
    </row>
    <row r="19" ht="13.5" customHeight="1">
      <c r="A19" s="148"/>
      <c r="B19" s="149"/>
      <c r="C19" s="150"/>
      <c r="D19" s="151" t="s">
        <v>1559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 t="s">
        <v>742</v>
      </c>
      <c r="P19" s="152"/>
      <c r="Q19" s="152"/>
      <c r="R19" s="152"/>
      <c r="S19" s="152"/>
      <c r="T19" s="152" t="s">
        <v>742</v>
      </c>
      <c r="U19" s="152"/>
      <c r="V19" s="152"/>
      <c r="W19" s="153"/>
    </row>
    <row r="20" ht="13.5" customHeight="1">
      <c r="A20" s="148"/>
      <c r="B20" s="149"/>
      <c r="C20" s="150"/>
      <c r="D20" s="151" t="s">
        <v>1561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 t="s">
        <v>742</v>
      </c>
      <c r="Q20" s="152"/>
      <c r="R20" s="152"/>
      <c r="S20" s="152"/>
      <c r="T20" s="152"/>
      <c r="U20" s="152"/>
      <c r="V20" s="152"/>
      <c r="W20" s="153"/>
    </row>
    <row r="21" ht="13.5" customHeight="1">
      <c r="A21" s="148"/>
      <c r="B21" s="149"/>
      <c r="C21" s="150"/>
      <c r="D21" s="151" t="s">
        <v>1564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 t="s">
        <v>742</v>
      </c>
      <c r="R21" s="152"/>
      <c r="S21" s="152"/>
      <c r="T21" s="152"/>
      <c r="U21" s="152"/>
      <c r="V21" s="152"/>
      <c r="W21" s="153"/>
    </row>
    <row r="22" ht="13.5" customHeight="1">
      <c r="A22" s="148"/>
      <c r="B22" s="149"/>
      <c r="C22" s="150"/>
      <c r="D22" s="151" t="s">
        <v>1566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 t="s">
        <v>742</v>
      </c>
      <c r="S22" s="152"/>
      <c r="T22" s="152"/>
      <c r="U22" s="152"/>
      <c r="V22" s="152"/>
      <c r="W22" s="153"/>
    </row>
    <row r="23" ht="13.5" customHeight="1">
      <c r="A23" s="148"/>
      <c r="B23" s="149"/>
      <c r="C23" s="150"/>
      <c r="D23" s="151" t="s">
        <v>1569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 t="s">
        <v>742</v>
      </c>
      <c r="T23" s="152"/>
      <c r="U23" s="152"/>
      <c r="V23" s="152"/>
      <c r="W23" s="153"/>
    </row>
    <row r="24" ht="13.5" customHeight="1">
      <c r="A24" s="148"/>
      <c r="B24" s="149"/>
      <c r="C24" s="150"/>
      <c r="D24" s="151" t="s">
        <v>1571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 t="s">
        <v>742</v>
      </c>
      <c r="V24" s="152"/>
      <c r="W24" s="153"/>
    </row>
    <row r="25" ht="13.5" customHeight="1">
      <c r="A25" s="148"/>
      <c r="B25" s="149"/>
      <c r="C25" s="150"/>
      <c r="D25" s="151" t="s">
        <v>1574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 t="s">
        <v>742</v>
      </c>
      <c r="W25" s="153" t="s">
        <v>742</v>
      </c>
    </row>
    <row r="26" ht="13.5" customHeight="1">
      <c r="A26" s="148"/>
      <c r="B26" s="149" t="s">
        <v>768</v>
      </c>
      <c r="C26" s="150"/>
      <c r="D26" s="151"/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3"/>
    </row>
    <row r="27" ht="13.5" customHeight="1">
      <c r="A27" s="148"/>
      <c r="B27" s="149"/>
      <c r="C27" s="150"/>
      <c r="D27" s="151" t="s">
        <v>1578</v>
      </c>
      <c r="E27" s="145"/>
      <c r="F27" s="152" t="s">
        <v>742</v>
      </c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3"/>
    </row>
    <row r="28" ht="13.5" customHeight="1">
      <c r="A28" s="148"/>
      <c r="B28" s="149"/>
      <c r="C28" s="150"/>
      <c r="D28" s="151" t="s">
        <v>1581</v>
      </c>
      <c r="E28" s="145"/>
      <c r="F28" s="152"/>
      <c r="G28" s="152" t="s">
        <v>742</v>
      </c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3"/>
    </row>
    <row r="29" ht="13.5" customHeight="1">
      <c r="A29" s="148"/>
      <c r="B29" s="149"/>
      <c r="C29" s="150"/>
      <c r="D29" s="151" t="s">
        <v>1583</v>
      </c>
      <c r="E29" s="145"/>
      <c r="F29" s="152"/>
      <c r="G29" s="152"/>
      <c r="H29" s="152" t="s">
        <v>742</v>
      </c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3"/>
    </row>
    <row r="30" ht="13.5" customHeight="1">
      <c r="A30" s="148"/>
      <c r="B30" s="149"/>
      <c r="C30" s="150"/>
      <c r="D30" s="151" t="s">
        <v>1586</v>
      </c>
      <c r="E30" s="145"/>
      <c r="F30" s="152"/>
      <c r="G30" s="152"/>
      <c r="H30" s="152"/>
      <c r="I30" s="152" t="s">
        <v>742</v>
      </c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3"/>
    </row>
    <row r="31" ht="13.5" customHeight="1">
      <c r="A31" s="148"/>
      <c r="B31" s="149"/>
      <c r="C31" s="150"/>
      <c r="D31" s="151" t="s">
        <v>1588</v>
      </c>
      <c r="E31" s="145"/>
      <c r="F31" s="152"/>
      <c r="G31" s="152"/>
      <c r="H31" s="152"/>
      <c r="I31" s="152"/>
      <c r="J31" s="152" t="s">
        <v>742</v>
      </c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3"/>
    </row>
    <row r="32" ht="13.5" customHeight="1">
      <c r="A32" s="148"/>
      <c r="B32" s="149"/>
      <c r="C32" s="150"/>
      <c r="D32" s="151" t="s">
        <v>1591</v>
      </c>
      <c r="E32" s="145"/>
      <c r="F32" s="152"/>
      <c r="G32" s="152"/>
      <c r="H32" s="152"/>
      <c r="I32" s="152"/>
      <c r="J32" s="152"/>
      <c r="K32" s="152" t="s">
        <v>742</v>
      </c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3"/>
    </row>
    <row r="33" ht="13.5" customHeight="1">
      <c r="A33" s="148"/>
      <c r="B33" s="149"/>
      <c r="C33" s="150"/>
      <c r="D33" s="151" t="s">
        <v>1488</v>
      </c>
      <c r="E33" s="145"/>
      <c r="F33" s="152"/>
      <c r="G33" s="152"/>
      <c r="H33" s="152"/>
      <c r="I33" s="152"/>
      <c r="J33" s="152"/>
      <c r="K33" s="152"/>
      <c r="L33" s="152" t="s">
        <v>742</v>
      </c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3"/>
    </row>
    <row r="34" ht="13.5" customHeight="1">
      <c r="A34" s="148"/>
      <c r="B34" s="149"/>
      <c r="C34" s="150"/>
      <c r="D34" s="151" t="s">
        <v>1595</v>
      </c>
      <c r="E34" s="145"/>
      <c r="F34" s="152"/>
      <c r="G34" s="152"/>
      <c r="H34" s="152"/>
      <c r="I34" s="152"/>
      <c r="J34" s="152"/>
      <c r="K34" s="152"/>
      <c r="L34" s="152"/>
      <c r="M34" s="152" t="s">
        <v>742</v>
      </c>
      <c r="N34" s="152"/>
      <c r="O34" s="152"/>
      <c r="P34" s="152"/>
      <c r="Q34" s="152"/>
      <c r="R34" s="152"/>
      <c r="S34" s="152"/>
      <c r="T34" s="152"/>
      <c r="U34" s="152"/>
      <c r="V34" s="152"/>
      <c r="W34" s="153"/>
    </row>
    <row r="35" ht="13.5" customHeight="1">
      <c r="A35" s="148"/>
      <c r="B35" s="149"/>
      <c r="C35" s="150"/>
      <c r="D35" s="151" t="s">
        <v>1597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 t="s">
        <v>742</v>
      </c>
      <c r="O35" s="152"/>
      <c r="P35" s="152"/>
      <c r="Q35" s="152"/>
      <c r="R35" s="152"/>
      <c r="S35" s="152"/>
      <c r="T35" s="152"/>
      <c r="U35" s="152"/>
      <c r="V35" s="152"/>
      <c r="W35" s="153"/>
    </row>
    <row r="36" ht="13.5" customHeight="1">
      <c r="A36" s="148"/>
      <c r="B36" s="149"/>
      <c r="C36" s="150"/>
      <c r="D36" s="151" t="s">
        <v>1600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 t="s">
        <v>742</v>
      </c>
      <c r="P36" s="152" t="s">
        <v>742</v>
      </c>
      <c r="Q36" s="152" t="s">
        <v>742</v>
      </c>
      <c r="R36" s="152" t="s">
        <v>742</v>
      </c>
      <c r="S36" s="152"/>
      <c r="T36" s="152" t="s">
        <v>742</v>
      </c>
      <c r="U36" s="152" t="s">
        <v>742</v>
      </c>
      <c r="V36" s="152"/>
      <c r="W36" s="153"/>
    </row>
    <row r="37" ht="13.5" customHeight="1">
      <c r="A37" s="148"/>
      <c r="B37" s="149"/>
      <c r="C37" s="150"/>
      <c r="D37" s="151" t="s">
        <v>1602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 t="s">
        <v>742</v>
      </c>
      <c r="T37" s="152"/>
      <c r="U37" s="152"/>
      <c r="V37" s="152"/>
      <c r="W37" s="153"/>
    </row>
    <row r="38" ht="13.5" customHeight="1">
      <c r="A38" s="148"/>
      <c r="B38" s="149"/>
      <c r="C38" s="150"/>
      <c r="D38" s="151" t="s">
        <v>1605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 t="s">
        <v>742</v>
      </c>
      <c r="W38" s="153"/>
    </row>
    <row r="39" ht="13.5" customHeight="1">
      <c r="A39" s="148"/>
      <c r="B39" s="149"/>
      <c r="C39" s="150"/>
      <c r="D39" s="151" t="s">
        <v>1606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3" t="s">
        <v>742</v>
      </c>
    </row>
    <row r="40" ht="13.5" customHeight="1">
      <c r="A40" s="148"/>
      <c r="B40" s="154"/>
      <c r="C40" s="155"/>
      <c r="D40" s="156"/>
      <c r="E40" s="157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9"/>
    </row>
    <row r="41" ht="13.5" customHeight="1">
      <c r="A41" s="160" t="s">
        <v>802</v>
      </c>
      <c r="B41" s="161" t="s">
        <v>804</v>
      </c>
      <c r="C41" s="162"/>
      <c r="D41" s="163"/>
      <c r="E41" s="164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7"/>
    </row>
    <row r="42" ht="13.5" customHeight="1">
      <c r="A42" s="165"/>
      <c r="B42" s="166"/>
      <c r="C42" s="167"/>
      <c r="D42" s="168" t="s">
        <v>1611</v>
      </c>
      <c r="E42" s="169"/>
      <c r="F42" s="152" t="s">
        <v>742</v>
      </c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3"/>
    </row>
    <row r="43" ht="13.5" customHeight="1">
      <c r="A43" s="165"/>
      <c r="B43" s="166"/>
      <c r="C43" s="167"/>
      <c r="D43" s="168" t="s">
        <v>1613</v>
      </c>
      <c r="E43" s="169"/>
      <c r="F43" s="152"/>
      <c r="G43" s="152" t="s">
        <v>742</v>
      </c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3"/>
    </row>
    <row r="44" ht="13.5" customHeight="1">
      <c r="A44" s="165"/>
      <c r="B44" s="166"/>
      <c r="C44" s="167"/>
      <c r="D44" s="168" t="s">
        <v>1614</v>
      </c>
      <c r="E44" s="169"/>
      <c r="F44" s="152"/>
      <c r="G44" s="152"/>
      <c r="H44" s="152"/>
      <c r="I44" s="152"/>
      <c r="J44" s="152"/>
      <c r="K44" s="152" t="s">
        <v>742</v>
      </c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3"/>
    </row>
    <row r="45" ht="13.5" customHeight="1">
      <c r="A45" s="165"/>
      <c r="B45" s="166"/>
      <c r="C45" s="167"/>
      <c r="D45" s="168" t="s">
        <v>1615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 t="s">
        <v>742</v>
      </c>
      <c r="O45" s="152"/>
      <c r="P45" s="152"/>
      <c r="Q45" s="152"/>
      <c r="R45" s="152"/>
      <c r="S45" s="152"/>
      <c r="T45" s="152"/>
      <c r="U45" s="152"/>
      <c r="V45" s="152"/>
      <c r="W45" s="153"/>
    </row>
    <row r="46" ht="13.5" customHeight="1">
      <c r="A46" s="165"/>
      <c r="B46" s="166"/>
      <c r="C46" s="167"/>
      <c r="D46" s="168" t="s">
        <v>1616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 t="s">
        <v>742</v>
      </c>
      <c r="S46" s="152"/>
      <c r="T46" s="152"/>
      <c r="U46" s="152"/>
      <c r="V46" s="152"/>
      <c r="W46" s="153"/>
    </row>
    <row r="47" ht="13.5" customHeight="1">
      <c r="A47" s="165"/>
      <c r="B47" s="166"/>
      <c r="C47" s="167"/>
      <c r="D47" s="168" t="s">
        <v>1617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 t="s">
        <v>742</v>
      </c>
      <c r="T47" s="152"/>
      <c r="U47" s="152"/>
      <c r="V47" s="152"/>
      <c r="W47" s="153"/>
    </row>
    <row r="48" ht="13.5" customHeight="1">
      <c r="A48" s="165"/>
      <c r="B48" s="166"/>
      <c r="C48" s="167"/>
      <c r="D48" s="168" t="s">
        <v>817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 t="s">
        <v>742</v>
      </c>
      <c r="W48" s="153"/>
    </row>
    <row r="49" ht="13.5" customHeight="1">
      <c r="A49" s="165"/>
      <c r="B49" s="166" t="s">
        <v>825</v>
      </c>
      <c r="C49" s="167"/>
      <c r="D49" s="168"/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3"/>
    </row>
    <row r="50" ht="13.5" customHeight="1">
      <c r="A50" s="165"/>
      <c r="B50" s="166"/>
      <c r="C50" s="167"/>
      <c r="D50" s="168" t="s">
        <v>1620</v>
      </c>
      <c r="E50" s="169"/>
      <c r="F50" s="152"/>
      <c r="G50" s="152"/>
      <c r="H50" s="152" t="s">
        <v>742</v>
      </c>
      <c r="I50" s="152" t="s">
        <v>742</v>
      </c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3"/>
    </row>
    <row r="51" ht="13.5" customHeight="1">
      <c r="A51" s="165"/>
      <c r="B51" s="166"/>
      <c r="C51" s="167"/>
      <c r="D51" s="168" t="s">
        <v>1621</v>
      </c>
      <c r="E51" s="169"/>
      <c r="F51" s="152"/>
      <c r="G51" s="152"/>
      <c r="H51" s="152"/>
      <c r="I51" s="152"/>
      <c r="J51" s="152" t="s">
        <v>742</v>
      </c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3"/>
    </row>
    <row r="52" ht="13.5" customHeight="1">
      <c r="A52" s="165"/>
      <c r="B52" s="166"/>
      <c r="C52" s="167"/>
      <c r="D52" s="168" t="s">
        <v>1522</v>
      </c>
      <c r="E52" s="169"/>
      <c r="F52" s="152"/>
      <c r="G52" s="152"/>
      <c r="H52" s="152"/>
      <c r="I52" s="152"/>
      <c r="J52" s="152"/>
      <c r="K52" s="152"/>
      <c r="L52" s="152" t="s">
        <v>742</v>
      </c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3"/>
    </row>
    <row r="53" ht="13.5" customHeight="1">
      <c r="A53" s="165"/>
      <c r="B53" s="166"/>
      <c r="C53" s="167"/>
      <c r="D53" s="168" t="s">
        <v>1523</v>
      </c>
      <c r="E53" s="169"/>
      <c r="F53" s="152"/>
      <c r="G53" s="152"/>
      <c r="H53" s="152"/>
      <c r="I53" s="152"/>
      <c r="J53" s="152"/>
      <c r="K53" s="152"/>
      <c r="L53" s="152"/>
      <c r="M53" s="152" t="s">
        <v>742</v>
      </c>
      <c r="N53" s="152"/>
      <c r="O53" s="152"/>
      <c r="P53" s="152"/>
      <c r="Q53" s="152"/>
      <c r="R53" s="152"/>
      <c r="S53" s="152"/>
      <c r="T53" s="152"/>
      <c r="U53" s="152"/>
      <c r="V53" s="152"/>
      <c r="W53" s="153"/>
    </row>
    <row r="54" ht="13.5" customHeight="1">
      <c r="A54" s="165"/>
      <c r="B54" s="166"/>
      <c r="C54" s="167"/>
      <c r="D54" s="168" t="s">
        <v>1624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 t="s">
        <v>742</v>
      </c>
      <c r="P54" s="152"/>
      <c r="Q54" s="152"/>
      <c r="R54" s="152"/>
      <c r="S54" s="152"/>
      <c r="T54" s="152"/>
      <c r="U54" s="152"/>
      <c r="V54" s="152"/>
      <c r="W54" s="153"/>
    </row>
    <row r="55" ht="13.5" customHeight="1">
      <c r="A55" s="165"/>
      <c r="B55" s="166"/>
      <c r="C55" s="167"/>
      <c r="D55" s="168" t="s">
        <v>1626</v>
      </c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 t="s">
        <v>742</v>
      </c>
      <c r="Q55" s="152" t="s">
        <v>742</v>
      </c>
      <c r="R55" s="152"/>
      <c r="S55" s="152"/>
      <c r="T55" s="152"/>
      <c r="U55" s="152" t="s">
        <v>742</v>
      </c>
      <c r="V55" s="152"/>
      <c r="W55" s="153"/>
    </row>
    <row r="56" ht="13.5" customHeight="1">
      <c r="A56" s="165"/>
      <c r="B56" s="166"/>
      <c r="C56" s="167"/>
      <c r="D56" s="168" t="s">
        <v>1627</v>
      </c>
      <c r="E56" s="16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 t="s">
        <v>742</v>
      </c>
      <c r="U56" s="152"/>
      <c r="V56" s="152"/>
      <c r="W56" s="153"/>
    </row>
    <row r="57" ht="13.5" customHeight="1">
      <c r="A57" s="165"/>
      <c r="B57" s="166"/>
      <c r="C57" s="167"/>
      <c r="D57" s="168" t="s">
        <v>1629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3" t="s">
        <v>742</v>
      </c>
    </row>
    <row r="58" ht="13.5" customHeight="1">
      <c r="A58" s="165"/>
      <c r="B58" s="166" t="s">
        <v>854</v>
      </c>
      <c r="C58" s="167"/>
      <c r="D58" s="168"/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3"/>
    </row>
    <row r="59" ht="13.5" customHeight="1">
      <c r="A59" s="165"/>
      <c r="B59" s="166"/>
      <c r="C59" s="167"/>
      <c r="D59" s="168" t="s">
        <v>1631</v>
      </c>
      <c r="E59" s="169"/>
      <c r="F59" s="152" t="s">
        <v>742</v>
      </c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3"/>
    </row>
    <row r="60" ht="13.5" customHeight="1">
      <c r="A60" s="165"/>
      <c r="B60" s="170"/>
      <c r="C60" s="171"/>
      <c r="D60" s="172"/>
      <c r="E60" s="173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5"/>
    </row>
    <row r="61" ht="13.5" customHeight="1">
      <c r="A61" s="160" t="s">
        <v>865</v>
      </c>
      <c r="B61" s="176" t="s">
        <v>866</v>
      </c>
      <c r="C61" s="177"/>
      <c r="D61" s="178"/>
      <c r="E61" s="179"/>
      <c r="F61" s="180" t="s">
        <v>54</v>
      </c>
      <c r="G61" s="180" t="s">
        <v>54</v>
      </c>
      <c r="H61" s="180" t="s">
        <v>55</v>
      </c>
      <c r="I61" s="180" t="s">
        <v>55</v>
      </c>
      <c r="J61" s="180" t="s">
        <v>55</v>
      </c>
      <c r="K61" s="180" t="s">
        <v>54</v>
      </c>
      <c r="L61" s="180" t="s">
        <v>57</v>
      </c>
      <c r="M61" s="180" t="s">
        <v>57</v>
      </c>
      <c r="N61" s="180" t="s">
        <v>54</v>
      </c>
      <c r="O61" s="180" t="s">
        <v>55</v>
      </c>
      <c r="P61" s="180" t="s">
        <v>55</v>
      </c>
      <c r="Q61" s="180" t="s">
        <v>55</v>
      </c>
      <c r="R61" s="180" t="s">
        <v>54</v>
      </c>
      <c r="S61" s="180" t="s">
        <v>57</v>
      </c>
      <c r="T61" s="180" t="s">
        <v>55</v>
      </c>
      <c r="U61" s="180" t="s">
        <v>55</v>
      </c>
      <c r="V61" s="180" t="s">
        <v>57</v>
      </c>
      <c r="W61" s="181" t="s">
        <v>57</v>
      </c>
    </row>
    <row r="62" ht="13.5" customHeight="1">
      <c r="A62" s="165"/>
      <c r="B62" s="182" t="s">
        <v>867</v>
      </c>
      <c r="C62" s="27"/>
      <c r="D62" s="25"/>
      <c r="E62" s="183"/>
      <c r="F62" s="184" t="s">
        <v>868</v>
      </c>
      <c r="G62" s="184" t="s">
        <v>868</v>
      </c>
      <c r="H62" s="184" t="s">
        <v>868</v>
      </c>
      <c r="I62" s="184" t="s">
        <v>868</v>
      </c>
      <c r="J62" s="184" t="s">
        <v>868</v>
      </c>
      <c r="K62" s="184" t="s">
        <v>868</v>
      </c>
      <c r="L62" s="184" t="s">
        <v>868</v>
      </c>
      <c r="M62" s="184" t="s">
        <v>868</v>
      </c>
      <c r="N62" s="184" t="s">
        <v>868</v>
      </c>
      <c r="O62" s="184" t="s">
        <v>868</v>
      </c>
      <c r="P62" s="184" t="s">
        <v>868</v>
      </c>
      <c r="Q62" s="184" t="s">
        <v>868</v>
      </c>
      <c r="R62" s="184" t="s">
        <v>868</v>
      </c>
      <c r="S62" s="184" t="s">
        <v>868</v>
      </c>
      <c r="T62" s="184" t="s">
        <v>868</v>
      </c>
      <c r="U62" s="184" t="s">
        <v>868</v>
      </c>
      <c r="V62" s="184" t="s">
        <v>868</v>
      </c>
      <c r="W62" s="185" t="s">
        <v>868</v>
      </c>
    </row>
    <row r="63" ht="99.75" customHeight="1">
      <c r="A63" s="165"/>
      <c r="B63" s="186" t="s">
        <v>869</v>
      </c>
      <c r="C63" s="27"/>
      <c r="D63" s="25"/>
      <c r="E63" s="169"/>
      <c r="F63" s="187">
        <v>46266.0</v>
      </c>
      <c r="G63" s="187">
        <v>46266.0</v>
      </c>
      <c r="H63" s="187">
        <v>46266.0</v>
      </c>
      <c r="I63" s="187">
        <v>46266.0</v>
      </c>
      <c r="J63" s="187">
        <v>46266.0</v>
      </c>
      <c r="K63" s="187">
        <v>46266.0</v>
      </c>
      <c r="L63" s="187">
        <v>46266.0</v>
      </c>
      <c r="M63" s="187">
        <v>46266.0</v>
      </c>
      <c r="N63" s="187">
        <v>46266.0</v>
      </c>
      <c r="O63" s="187">
        <v>46266.0</v>
      </c>
      <c r="P63" s="187">
        <v>46266.0</v>
      </c>
      <c r="Q63" s="187">
        <v>46266.0</v>
      </c>
      <c r="R63" s="187">
        <v>46266.0</v>
      </c>
      <c r="S63" s="187">
        <v>46266.0</v>
      </c>
      <c r="T63" s="187">
        <v>46266.0</v>
      </c>
      <c r="U63" s="187">
        <v>46266.0</v>
      </c>
      <c r="V63" s="187">
        <v>46266.0</v>
      </c>
      <c r="W63" s="189">
        <v>46266.0</v>
      </c>
    </row>
    <row r="64" ht="72.75" customHeight="1">
      <c r="A64" s="190"/>
      <c r="B64" s="191" t="s">
        <v>870</v>
      </c>
      <c r="C64" s="192"/>
      <c r="D64" s="193"/>
      <c r="E64" s="194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6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W4"/>
    <mergeCell ref="C5:W5"/>
    <mergeCell ref="A2:B2"/>
    <mergeCell ref="C2:E2"/>
    <mergeCell ref="F2:K2"/>
    <mergeCell ref="L2:W2"/>
    <mergeCell ref="C3:E3"/>
    <mergeCell ref="F3:K3"/>
    <mergeCell ref="L3:W3"/>
    <mergeCell ref="F6:K6"/>
    <mergeCell ref="L6:N6"/>
    <mergeCell ref="O6:W6"/>
    <mergeCell ref="A7:B7"/>
    <mergeCell ref="C7:E7"/>
    <mergeCell ref="F7:K7"/>
    <mergeCell ref="O7:W7"/>
    <mergeCell ref="B61:D61"/>
    <mergeCell ref="B62:D62"/>
    <mergeCell ref="B63:D63"/>
    <mergeCell ref="B64:D64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292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304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67.0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1527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COUNTIF(F31:T31,"P")</f>
        <v>5</v>
      </c>
      <c r="B7" s="130"/>
      <c r="C7" s="131">
        <f>COUNTIF(F31:T31,"F")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COUNTIF(F30:T30,"N")</f>
        <v>4</v>
      </c>
      <c r="M7" s="132">
        <f>COUNTIF(F30:T30,"A")</f>
        <v>1</v>
      </c>
      <c r="N7" s="132">
        <f>COUNTIF(F30:T30,"B")</f>
        <v>0</v>
      </c>
      <c r="O7" s="133">
        <f>COUNTA(F9:T9)</f>
        <v>5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/>
      <c r="L9" s="139"/>
      <c r="M9" s="139"/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1540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1546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1548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1549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1455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 t="s">
        <v>768</v>
      </c>
      <c r="C16" s="150"/>
      <c r="D16" s="151"/>
      <c r="E16" s="145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1551</v>
      </c>
      <c r="E17" s="145"/>
      <c r="F17" s="152" t="s">
        <v>742</v>
      </c>
      <c r="G17" s="152" t="s">
        <v>742</v>
      </c>
      <c r="H17" s="152" t="s">
        <v>742</v>
      </c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1556</v>
      </c>
      <c r="E18" s="145"/>
      <c r="F18" s="152"/>
      <c r="G18" s="152"/>
      <c r="H18" s="152"/>
      <c r="I18" s="152" t="s">
        <v>742</v>
      </c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1488</v>
      </c>
      <c r="E19" s="145"/>
      <c r="F19" s="152"/>
      <c r="G19" s="152"/>
      <c r="H19" s="152"/>
      <c r="I19" s="152"/>
      <c r="J19" s="152" t="s">
        <v>742</v>
      </c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54"/>
      <c r="C20" s="155"/>
      <c r="D20" s="156"/>
      <c r="E20" s="157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9"/>
    </row>
    <row r="21" ht="13.5" customHeight="1">
      <c r="A21" s="160" t="s">
        <v>802</v>
      </c>
      <c r="B21" s="161" t="s">
        <v>804</v>
      </c>
      <c r="C21" s="162"/>
      <c r="D21" s="163"/>
      <c r="E21" s="164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</row>
    <row r="22" ht="13.5" customHeight="1">
      <c r="A22" s="165"/>
      <c r="B22" s="166"/>
      <c r="C22" s="167"/>
      <c r="D22" s="168" t="s">
        <v>1568</v>
      </c>
      <c r="E22" s="169"/>
      <c r="F22" s="152" t="s">
        <v>742</v>
      </c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65"/>
      <c r="B23" s="166"/>
      <c r="C23" s="167"/>
      <c r="D23" s="168" t="s">
        <v>1570</v>
      </c>
      <c r="E23" s="169"/>
      <c r="F23" s="152"/>
      <c r="G23" s="152" t="s">
        <v>742</v>
      </c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65"/>
      <c r="B24" s="166"/>
      <c r="C24" s="167"/>
      <c r="D24" s="168" t="s">
        <v>1572</v>
      </c>
      <c r="E24" s="169"/>
      <c r="F24" s="152"/>
      <c r="G24" s="152"/>
      <c r="H24" s="152" t="s">
        <v>742</v>
      </c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65"/>
      <c r="B25" s="166"/>
      <c r="C25" s="167"/>
      <c r="D25" s="168" t="s">
        <v>1573</v>
      </c>
      <c r="E25" s="169"/>
      <c r="F25" s="152"/>
      <c r="G25" s="152"/>
      <c r="H25" s="152"/>
      <c r="I25" s="152" t="s">
        <v>742</v>
      </c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65"/>
      <c r="B26" s="166" t="s">
        <v>825</v>
      </c>
      <c r="C26" s="167"/>
      <c r="D26" s="168"/>
      <c r="E26" s="169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65"/>
      <c r="B27" s="166"/>
      <c r="C27" s="167"/>
      <c r="D27" s="168" t="s">
        <v>1522</v>
      </c>
      <c r="E27" s="169"/>
      <c r="F27" s="152"/>
      <c r="G27" s="152"/>
      <c r="H27" s="152"/>
      <c r="I27" s="152"/>
      <c r="J27" s="152" t="s">
        <v>742</v>
      </c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65"/>
      <c r="B28" s="166" t="s">
        <v>854</v>
      </c>
      <c r="C28" s="167"/>
      <c r="D28" s="168"/>
      <c r="E28" s="169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70"/>
      <c r="C29" s="171"/>
      <c r="D29" s="172"/>
      <c r="E29" s="173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5"/>
    </row>
    <row r="30" ht="13.5" customHeight="1">
      <c r="A30" s="160" t="s">
        <v>865</v>
      </c>
      <c r="B30" s="176" t="s">
        <v>866</v>
      </c>
      <c r="C30" s="177"/>
      <c r="D30" s="178"/>
      <c r="E30" s="179"/>
      <c r="F30" s="180" t="s">
        <v>54</v>
      </c>
      <c r="G30" s="180" t="s">
        <v>54</v>
      </c>
      <c r="H30" s="180" t="s">
        <v>54</v>
      </c>
      <c r="I30" s="180" t="s">
        <v>54</v>
      </c>
      <c r="J30" s="180" t="s">
        <v>55</v>
      </c>
      <c r="K30" s="180"/>
      <c r="L30" s="180"/>
      <c r="M30" s="180"/>
      <c r="N30" s="180"/>
      <c r="O30" s="180"/>
      <c r="P30" s="180"/>
      <c r="Q30" s="180"/>
      <c r="R30" s="180"/>
      <c r="S30" s="180"/>
      <c r="T30" s="181"/>
    </row>
    <row r="31" ht="13.5" customHeight="1">
      <c r="A31" s="165"/>
      <c r="B31" s="182" t="s">
        <v>867</v>
      </c>
      <c r="C31" s="27"/>
      <c r="D31" s="25"/>
      <c r="E31" s="183"/>
      <c r="F31" s="184" t="s">
        <v>868</v>
      </c>
      <c r="G31" s="184" t="s">
        <v>868</v>
      </c>
      <c r="H31" s="184" t="s">
        <v>868</v>
      </c>
      <c r="I31" s="184" t="s">
        <v>868</v>
      </c>
      <c r="J31" s="184" t="s">
        <v>868</v>
      </c>
      <c r="K31" s="184"/>
      <c r="L31" s="184"/>
      <c r="M31" s="184"/>
      <c r="N31" s="184"/>
      <c r="O31" s="184"/>
      <c r="P31" s="184"/>
      <c r="Q31" s="184"/>
      <c r="R31" s="184"/>
      <c r="S31" s="184"/>
      <c r="T31" s="185"/>
    </row>
    <row r="32" ht="99.75" customHeight="1">
      <c r="A32" s="165"/>
      <c r="B32" s="186" t="s">
        <v>869</v>
      </c>
      <c r="C32" s="27"/>
      <c r="D32" s="25"/>
      <c r="E32" s="169"/>
      <c r="F32" s="187">
        <v>46265.0</v>
      </c>
      <c r="G32" s="187">
        <v>46265.0</v>
      </c>
      <c r="H32" s="187">
        <v>46265.0</v>
      </c>
      <c r="I32" s="187">
        <v>46265.0</v>
      </c>
      <c r="J32" s="187">
        <v>46265.0</v>
      </c>
      <c r="K32" s="197"/>
      <c r="L32" s="197"/>
      <c r="M32" s="197"/>
      <c r="N32" s="197"/>
      <c r="O32" s="197"/>
      <c r="P32" s="197"/>
      <c r="Q32" s="197"/>
      <c r="R32" s="197"/>
      <c r="S32" s="197"/>
      <c r="T32" s="188"/>
    </row>
    <row r="33" ht="72.75" customHeight="1">
      <c r="A33" s="190"/>
      <c r="B33" s="191" t="s">
        <v>870</v>
      </c>
      <c r="C33" s="192"/>
      <c r="D33" s="193"/>
      <c r="E33" s="194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6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0:D30"/>
    <mergeCell ref="B31:D31"/>
    <mergeCell ref="B32:D32"/>
    <mergeCell ref="B33:D33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34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</row>
    <row r="2" ht="13.5" customHeight="1">
      <c r="A2" s="111" t="s">
        <v>707</v>
      </c>
      <c r="B2" s="112"/>
      <c r="C2" s="113" t="s">
        <v>301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314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ht="13.5" customHeight="1">
      <c r="A4" s="117" t="s">
        <v>711</v>
      </c>
      <c r="B4" s="27"/>
      <c r="C4" s="122">
        <v>149.0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 ht="13.5" customHeight="1">
      <c r="A5" s="117" t="s">
        <v>713</v>
      </c>
      <c r="B5" s="27"/>
      <c r="C5" s="124" t="s">
        <v>1533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7" ht="13.5" customHeight="1">
      <c r="A7" s="129">
        <f>COUNTIF(F79:AH79,"P")</f>
        <v>29</v>
      </c>
      <c r="B7" s="130"/>
      <c r="C7" s="131">
        <f>COUNTIF(F79:AH79,"F")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COUNTIF(F78:AH78,"N")</f>
        <v>11</v>
      </c>
      <c r="M7" s="132">
        <f>COUNTIF(F78:AH78,"A")</f>
        <v>11</v>
      </c>
      <c r="N7" s="132">
        <f>COUNTIF(F78:AH78,"B")</f>
        <v>7</v>
      </c>
      <c r="O7" s="133">
        <f>COUNTA(F9:AH9)</f>
        <v>29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39" t="s">
        <v>736</v>
      </c>
      <c r="AA9" s="139" t="s">
        <v>737</v>
      </c>
      <c r="AB9" s="139" t="s">
        <v>738</v>
      </c>
      <c r="AC9" s="139" t="s">
        <v>876</v>
      </c>
      <c r="AD9" s="139" t="s">
        <v>1355</v>
      </c>
      <c r="AE9" s="139" t="s">
        <v>1356</v>
      </c>
      <c r="AF9" s="139" t="s">
        <v>1357</v>
      </c>
      <c r="AG9" s="139" t="s">
        <v>1358</v>
      </c>
      <c r="AH9" s="140" t="s">
        <v>1359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7"/>
    </row>
    <row r="11" ht="13.5" customHeight="1">
      <c r="A11" s="148"/>
      <c r="B11" s="149"/>
      <c r="C11" s="150"/>
      <c r="D11" s="151" t="s">
        <v>1584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3"/>
    </row>
    <row r="12" ht="13.5" customHeight="1">
      <c r="A12" s="148"/>
      <c r="B12" s="149"/>
      <c r="C12" s="150"/>
      <c r="D12" s="151" t="s">
        <v>1587</v>
      </c>
      <c r="E12" s="145"/>
      <c r="F12" s="152" t="s">
        <v>742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3"/>
    </row>
    <row r="13" ht="13.5" customHeight="1">
      <c r="A13" s="148"/>
      <c r="B13" s="149"/>
      <c r="C13" s="150"/>
      <c r="D13" s="151" t="s">
        <v>1590</v>
      </c>
      <c r="E13" s="145"/>
      <c r="F13" s="152"/>
      <c r="G13" s="152" t="s">
        <v>742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3"/>
    </row>
    <row r="14" ht="13.5" customHeight="1">
      <c r="A14" s="148"/>
      <c r="B14" s="149"/>
      <c r="C14" s="150"/>
      <c r="D14" s="151" t="s">
        <v>1594</v>
      </c>
      <c r="E14" s="145"/>
      <c r="F14" s="152"/>
      <c r="G14" s="152"/>
      <c r="H14" s="152" t="s">
        <v>742</v>
      </c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3"/>
    </row>
    <row r="15" ht="13.5" customHeight="1">
      <c r="A15" s="148"/>
      <c r="B15" s="149"/>
      <c r="C15" s="150"/>
      <c r="D15" s="151" t="s">
        <v>1599</v>
      </c>
      <c r="E15" s="145"/>
      <c r="F15" s="152"/>
      <c r="G15" s="152"/>
      <c r="H15" s="152"/>
      <c r="I15" s="152" t="s">
        <v>742</v>
      </c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3"/>
    </row>
    <row r="16" ht="13.5" customHeight="1">
      <c r="A16" s="148"/>
      <c r="B16" s="149"/>
      <c r="C16" s="150"/>
      <c r="D16" s="151" t="s">
        <v>1604</v>
      </c>
      <c r="E16" s="145"/>
      <c r="F16" s="152"/>
      <c r="G16" s="152"/>
      <c r="H16" s="152"/>
      <c r="I16" s="152"/>
      <c r="J16" s="152" t="s">
        <v>742</v>
      </c>
      <c r="K16" s="152"/>
      <c r="L16" s="152"/>
      <c r="M16" s="152"/>
      <c r="N16" s="152"/>
      <c r="O16" s="152"/>
      <c r="P16" s="152"/>
      <c r="Q16" s="152"/>
      <c r="R16" s="152"/>
      <c r="S16" s="152" t="s">
        <v>742</v>
      </c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3"/>
    </row>
    <row r="17" ht="13.5" customHeight="1">
      <c r="A17" s="148"/>
      <c r="B17" s="149"/>
      <c r="C17" s="150"/>
      <c r="D17" s="151" t="s">
        <v>1608</v>
      </c>
      <c r="E17" s="145"/>
      <c r="F17" s="152"/>
      <c r="G17" s="152"/>
      <c r="H17" s="152"/>
      <c r="I17" s="152"/>
      <c r="J17" s="152"/>
      <c r="K17" s="152" t="s">
        <v>742</v>
      </c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3"/>
    </row>
    <row r="18" ht="13.5" customHeight="1">
      <c r="A18" s="148"/>
      <c r="B18" s="149"/>
      <c r="C18" s="150"/>
      <c r="D18" s="151" t="s">
        <v>1609</v>
      </c>
      <c r="E18" s="145"/>
      <c r="F18" s="152"/>
      <c r="G18" s="152"/>
      <c r="H18" s="152"/>
      <c r="I18" s="152"/>
      <c r="J18" s="152"/>
      <c r="K18" s="152"/>
      <c r="L18" s="152" t="s">
        <v>742</v>
      </c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3"/>
    </row>
    <row r="19" ht="13.5" customHeight="1">
      <c r="A19" s="148"/>
      <c r="B19" s="149"/>
      <c r="C19" s="150"/>
      <c r="D19" s="151" t="s">
        <v>1610</v>
      </c>
      <c r="E19" s="145"/>
      <c r="F19" s="152"/>
      <c r="G19" s="152"/>
      <c r="H19" s="152"/>
      <c r="I19" s="152"/>
      <c r="J19" s="152"/>
      <c r="K19" s="152"/>
      <c r="L19" s="152"/>
      <c r="M19" s="152" t="s">
        <v>742</v>
      </c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3"/>
    </row>
    <row r="20" ht="13.5" customHeight="1">
      <c r="A20" s="148"/>
      <c r="B20" s="149"/>
      <c r="C20" s="150"/>
      <c r="D20" s="151" t="s">
        <v>1612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 t="s">
        <v>742</v>
      </c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3"/>
    </row>
    <row r="21" ht="13.5" customHeight="1">
      <c r="A21" s="148"/>
      <c r="B21" s="149"/>
      <c r="C21" s="150"/>
      <c r="D21" s="151" t="s">
        <v>1404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 t="s">
        <v>742</v>
      </c>
      <c r="P21" s="152"/>
      <c r="Q21" s="152"/>
      <c r="R21" s="152"/>
      <c r="S21" s="152"/>
      <c r="T21" s="152"/>
      <c r="U21" s="152"/>
      <c r="V21" s="152"/>
      <c r="W21" s="152" t="s">
        <v>742</v>
      </c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3"/>
    </row>
    <row r="22" ht="13.5" customHeight="1">
      <c r="A22" s="148"/>
      <c r="B22" s="149"/>
      <c r="C22" s="150"/>
      <c r="D22" s="151" t="s">
        <v>1618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 t="s">
        <v>742</v>
      </c>
      <c r="Q22" s="152"/>
      <c r="R22" s="152"/>
      <c r="S22" s="152"/>
      <c r="T22" s="152"/>
      <c r="U22" s="152"/>
      <c r="V22" s="152"/>
      <c r="W22" s="152"/>
      <c r="X22" s="152"/>
      <c r="Y22" s="152"/>
      <c r="Z22" s="152" t="s">
        <v>742</v>
      </c>
      <c r="AA22" s="152"/>
      <c r="AB22" s="152"/>
      <c r="AC22" s="152"/>
      <c r="AD22" s="152"/>
      <c r="AE22" s="152"/>
      <c r="AF22" s="152"/>
      <c r="AG22" s="152"/>
      <c r="AH22" s="153" t="s">
        <v>742</v>
      </c>
    </row>
    <row r="23" ht="13.5" customHeight="1">
      <c r="A23" s="148"/>
      <c r="B23" s="149"/>
      <c r="C23" s="150"/>
      <c r="D23" s="151" t="s">
        <v>1619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 t="s">
        <v>742</v>
      </c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3"/>
    </row>
    <row r="24" ht="13.5" customHeight="1">
      <c r="A24" s="148"/>
      <c r="B24" s="149"/>
      <c r="C24" s="150"/>
      <c r="D24" s="151" t="s">
        <v>1622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 t="s">
        <v>742</v>
      </c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3"/>
    </row>
    <row r="25" ht="13.5" customHeight="1">
      <c r="A25" s="148"/>
      <c r="B25" s="149"/>
      <c r="C25" s="150"/>
      <c r="D25" s="151" t="s">
        <v>1623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 t="s">
        <v>742</v>
      </c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3"/>
    </row>
    <row r="26" ht="13.5" customHeight="1">
      <c r="A26" s="148"/>
      <c r="B26" s="149"/>
      <c r="C26" s="150"/>
      <c r="D26" s="151" t="s">
        <v>1625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 t="s">
        <v>742</v>
      </c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3"/>
    </row>
    <row r="27" ht="13.5" customHeight="1">
      <c r="A27" s="148"/>
      <c r="B27" s="149"/>
      <c r="C27" s="150"/>
      <c r="D27" s="151" t="s">
        <v>1628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 t="s">
        <v>742</v>
      </c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3"/>
    </row>
    <row r="28" ht="13.5" customHeight="1">
      <c r="A28" s="148"/>
      <c r="B28" s="149"/>
      <c r="C28" s="150"/>
      <c r="D28" s="151" t="s">
        <v>1630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 t="s">
        <v>742</v>
      </c>
      <c r="Y28" s="152"/>
      <c r="Z28" s="152"/>
      <c r="AA28" s="152"/>
      <c r="AB28" s="152"/>
      <c r="AC28" s="152"/>
      <c r="AD28" s="152"/>
      <c r="AE28" s="152"/>
      <c r="AF28" s="152"/>
      <c r="AG28" s="152"/>
      <c r="AH28" s="153"/>
    </row>
    <row r="29" ht="13.5" customHeight="1">
      <c r="A29" s="148"/>
      <c r="B29" s="149"/>
      <c r="C29" s="150"/>
      <c r="D29" s="151" t="s">
        <v>1632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 t="s">
        <v>742</v>
      </c>
      <c r="Z29" s="152"/>
      <c r="AA29" s="152"/>
      <c r="AB29" s="152"/>
      <c r="AC29" s="152"/>
      <c r="AD29" s="152"/>
      <c r="AE29" s="152"/>
      <c r="AF29" s="152"/>
      <c r="AG29" s="152"/>
      <c r="AH29" s="153"/>
    </row>
    <row r="30" ht="13.5" customHeight="1">
      <c r="A30" s="148"/>
      <c r="B30" s="149"/>
      <c r="C30" s="150"/>
      <c r="D30" s="151" t="s">
        <v>1633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 t="s">
        <v>742</v>
      </c>
      <c r="AB30" s="152"/>
      <c r="AC30" s="152"/>
      <c r="AD30" s="152"/>
      <c r="AE30" s="152"/>
      <c r="AF30" s="152"/>
      <c r="AG30" s="152"/>
      <c r="AH30" s="153"/>
    </row>
    <row r="31" ht="13.5" customHeight="1">
      <c r="A31" s="148"/>
      <c r="B31" s="149"/>
      <c r="C31" s="150"/>
      <c r="D31" s="151" t="s">
        <v>1634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 t="s">
        <v>742</v>
      </c>
      <c r="AC31" s="152" t="s">
        <v>742</v>
      </c>
      <c r="AD31" s="152"/>
      <c r="AE31" s="152"/>
      <c r="AF31" s="152"/>
      <c r="AG31" s="152"/>
      <c r="AH31" s="153"/>
    </row>
    <row r="32" ht="13.5" customHeight="1">
      <c r="A32" s="148"/>
      <c r="B32" s="149"/>
      <c r="C32" s="150"/>
      <c r="D32" s="151" t="s">
        <v>1635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 t="s">
        <v>742</v>
      </c>
      <c r="AE32" s="152"/>
      <c r="AF32" s="152"/>
      <c r="AG32" s="152"/>
      <c r="AH32" s="153"/>
    </row>
    <row r="33" ht="13.5" customHeight="1">
      <c r="A33" s="148"/>
      <c r="B33" s="149"/>
      <c r="C33" s="150"/>
      <c r="D33" s="151" t="s">
        <v>1636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 t="s">
        <v>742</v>
      </c>
      <c r="AF33" s="152"/>
      <c r="AG33" s="152"/>
      <c r="AH33" s="153"/>
    </row>
    <row r="34" ht="13.5" customHeight="1">
      <c r="A34" s="148"/>
      <c r="B34" s="149"/>
      <c r="C34" s="150"/>
      <c r="D34" s="151" t="s">
        <v>1637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 t="s">
        <v>742</v>
      </c>
      <c r="AG34" s="152"/>
      <c r="AH34" s="153"/>
    </row>
    <row r="35" ht="13.5" customHeight="1">
      <c r="A35" s="148"/>
      <c r="B35" s="149"/>
      <c r="C35" s="150"/>
      <c r="D35" s="151" t="s">
        <v>1638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 t="s">
        <v>742</v>
      </c>
      <c r="AH35" s="153"/>
    </row>
    <row r="36" ht="13.5" customHeight="1">
      <c r="A36" s="148"/>
      <c r="B36" s="149" t="s">
        <v>768</v>
      </c>
      <c r="C36" s="150"/>
      <c r="D36" s="151"/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3"/>
    </row>
    <row r="37" ht="13.5" customHeight="1">
      <c r="A37" s="148"/>
      <c r="B37" s="149"/>
      <c r="C37" s="150"/>
      <c r="D37" s="151" t="s">
        <v>1639</v>
      </c>
      <c r="E37" s="145"/>
      <c r="F37" s="152" t="s">
        <v>742</v>
      </c>
      <c r="G37" s="152" t="s">
        <v>742</v>
      </c>
      <c r="H37" s="152" t="s">
        <v>742</v>
      </c>
      <c r="I37" s="152" t="s">
        <v>742</v>
      </c>
      <c r="J37" s="152" t="s">
        <v>742</v>
      </c>
      <c r="K37" s="152" t="s">
        <v>742</v>
      </c>
      <c r="L37" s="152" t="s">
        <v>742</v>
      </c>
      <c r="M37" s="152" t="s">
        <v>742</v>
      </c>
      <c r="N37" s="152" t="s">
        <v>742</v>
      </c>
      <c r="O37" s="152"/>
      <c r="P37" s="152"/>
      <c r="Q37" s="152" t="s">
        <v>742</v>
      </c>
      <c r="R37" s="152" t="s">
        <v>742</v>
      </c>
      <c r="S37" s="152" t="s">
        <v>742</v>
      </c>
      <c r="T37" s="152" t="s">
        <v>742</v>
      </c>
      <c r="U37" s="152" t="s">
        <v>742</v>
      </c>
      <c r="V37" s="152" t="s">
        <v>742</v>
      </c>
      <c r="W37" s="152"/>
      <c r="X37" s="152" t="s">
        <v>742</v>
      </c>
      <c r="Y37" s="152"/>
      <c r="Z37" s="152"/>
      <c r="AA37" s="152"/>
      <c r="AB37" s="152"/>
      <c r="AC37" s="152"/>
      <c r="AD37" s="152"/>
      <c r="AE37" s="152"/>
      <c r="AF37" s="152"/>
      <c r="AG37" s="152"/>
      <c r="AH37" s="153"/>
    </row>
    <row r="38" ht="13.5" customHeight="1">
      <c r="A38" s="148"/>
      <c r="B38" s="149"/>
      <c r="C38" s="150"/>
      <c r="D38" s="151" t="s">
        <v>1640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 t="s">
        <v>742</v>
      </c>
      <c r="P38" s="152"/>
      <c r="Q38" s="152"/>
      <c r="R38" s="152"/>
      <c r="S38" s="152"/>
      <c r="T38" s="152"/>
      <c r="U38" s="152"/>
      <c r="V38" s="152"/>
      <c r="W38" s="152" t="s">
        <v>742</v>
      </c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3"/>
    </row>
    <row r="39" ht="13.5" customHeight="1">
      <c r="A39" s="148"/>
      <c r="B39" s="149"/>
      <c r="C39" s="150"/>
      <c r="D39" s="151" t="s">
        <v>1641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 t="s">
        <v>742</v>
      </c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3"/>
    </row>
    <row r="40" ht="13.5" customHeight="1">
      <c r="A40" s="148"/>
      <c r="B40" s="149"/>
      <c r="C40" s="150"/>
      <c r="D40" s="151" t="s">
        <v>1642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 t="s">
        <v>742</v>
      </c>
      <c r="Z40" s="152"/>
      <c r="AA40" s="152"/>
      <c r="AB40" s="152"/>
      <c r="AC40" s="152"/>
      <c r="AD40" s="152"/>
      <c r="AE40" s="152"/>
      <c r="AF40" s="152"/>
      <c r="AG40" s="152"/>
      <c r="AH40" s="153"/>
    </row>
    <row r="41" ht="13.5" customHeight="1">
      <c r="A41" s="148"/>
      <c r="B41" s="149"/>
      <c r="C41" s="150"/>
      <c r="D41" s="151" t="s">
        <v>1643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 t="s">
        <v>742</v>
      </c>
      <c r="AA41" s="152"/>
      <c r="AB41" s="152"/>
      <c r="AC41" s="152"/>
      <c r="AD41" s="152"/>
      <c r="AE41" s="152"/>
      <c r="AF41" s="152"/>
      <c r="AG41" s="152"/>
      <c r="AH41" s="153" t="s">
        <v>742</v>
      </c>
    </row>
    <row r="42" ht="13.5" customHeight="1">
      <c r="A42" s="148"/>
      <c r="B42" s="149"/>
      <c r="C42" s="150"/>
      <c r="D42" s="151" t="s">
        <v>1644</v>
      </c>
      <c r="E42" s="145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 t="s">
        <v>742</v>
      </c>
      <c r="AB42" s="152"/>
      <c r="AC42" s="152"/>
      <c r="AD42" s="152"/>
      <c r="AE42" s="152" t="s">
        <v>742</v>
      </c>
      <c r="AF42" s="152" t="s">
        <v>742</v>
      </c>
      <c r="AG42" s="152" t="s">
        <v>742</v>
      </c>
      <c r="AH42" s="153"/>
    </row>
    <row r="43" ht="13.5" customHeight="1">
      <c r="A43" s="148"/>
      <c r="B43" s="149"/>
      <c r="C43" s="150"/>
      <c r="D43" s="151" t="s">
        <v>1645</v>
      </c>
      <c r="E43" s="145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 t="s">
        <v>742</v>
      </c>
      <c r="AC43" s="152"/>
      <c r="AD43" s="152"/>
      <c r="AE43" s="152"/>
      <c r="AF43" s="152"/>
      <c r="AG43" s="152"/>
      <c r="AH43" s="153"/>
    </row>
    <row r="44" ht="13.5" customHeight="1">
      <c r="A44" s="148"/>
      <c r="B44" s="149"/>
      <c r="C44" s="150"/>
      <c r="D44" s="151" t="s">
        <v>1646</v>
      </c>
      <c r="E44" s="145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 t="s">
        <v>742</v>
      </c>
      <c r="AD44" s="152"/>
      <c r="AE44" s="152"/>
      <c r="AF44" s="152"/>
      <c r="AG44" s="152"/>
      <c r="AH44" s="153"/>
    </row>
    <row r="45" ht="13.5" customHeight="1">
      <c r="A45" s="148"/>
      <c r="B45" s="149"/>
      <c r="C45" s="150"/>
      <c r="D45" s="151" t="s">
        <v>1647</v>
      </c>
      <c r="E45" s="145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 t="s">
        <v>742</v>
      </c>
      <c r="AE45" s="152"/>
      <c r="AF45" s="152"/>
      <c r="AG45" s="152"/>
      <c r="AH45" s="153"/>
    </row>
    <row r="46" ht="13.5" customHeight="1">
      <c r="A46" s="148"/>
      <c r="B46" s="154"/>
      <c r="C46" s="155"/>
      <c r="D46" s="156"/>
      <c r="E46" s="157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9"/>
    </row>
    <row r="47" ht="13.5" customHeight="1">
      <c r="A47" s="160" t="s">
        <v>802</v>
      </c>
      <c r="B47" s="161" t="s">
        <v>804</v>
      </c>
      <c r="C47" s="162"/>
      <c r="D47" s="163"/>
      <c r="E47" s="164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7"/>
    </row>
    <row r="48" ht="13.5" customHeight="1">
      <c r="A48" s="165"/>
      <c r="B48" s="166"/>
      <c r="C48" s="167"/>
      <c r="D48" s="168" t="s">
        <v>1648</v>
      </c>
      <c r="E48" s="169"/>
      <c r="F48" s="152" t="s">
        <v>742</v>
      </c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3"/>
    </row>
    <row r="49" ht="13.5" customHeight="1">
      <c r="A49" s="165"/>
      <c r="B49" s="166"/>
      <c r="C49" s="167"/>
      <c r="D49" s="168" t="s">
        <v>1649</v>
      </c>
      <c r="E49" s="169"/>
      <c r="F49" s="152" t="s">
        <v>742</v>
      </c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3"/>
    </row>
    <row r="50" ht="13.5" customHeight="1">
      <c r="A50" s="165"/>
      <c r="B50" s="166"/>
      <c r="C50" s="167"/>
      <c r="D50" s="168" t="s">
        <v>1650</v>
      </c>
      <c r="E50" s="169"/>
      <c r="F50" s="152"/>
      <c r="G50" s="152" t="s">
        <v>742</v>
      </c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3"/>
    </row>
    <row r="51" ht="13.5" customHeight="1">
      <c r="A51" s="165"/>
      <c r="B51" s="166"/>
      <c r="C51" s="167"/>
      <c r="D51" s="168" t="s">
        <v>1651</v>
      </c>
      <c r="E51" s="169"/>
      <c r="F51" s="152"/>
      <c r="G51" s="152"/>
      <c r="H51" s="152"/>
      <c r="I51" s="152"/>
      <c r="J51" s="152"/>
      <c r="K51" s="152"/>
      <c r="L51" s="152" t="s">
        <v>742</v>
      </c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3"/>
    </row>
    <row r="52" ht="13.5" customHeight="1">
      <c r="A52" s="165"/>
      <c r="B52" s="166"/>
      <c r="C52" s="167"/>
      <c r="D52" s="168" t="s">
        <v>1652</v>
      </c>
      <c r="E52" s="169"/>
      <c r="F52" s="152"/>
      <c r="G52" s="152"/>
      <c r="H52" s="152"/>
      <c r="I52" s="152"/>
      <c r="J52" s="152"/>
      <c r="K52" s="152"/>
      <c r="L52" s="152"/>
      <c r="M52" s="152" t="s">
        <v>742</v>
      </c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3"/>
    </row>
    <row r="53" ht="13.5" customHeight="1">
      <c r="A53" s="165"/>
      <c r="B53" s="166"/>
      <c r="C53" s="167"/>
      <c r="D53" s="168" t="s">
        <v>1653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 t="s">
        <v>742</v>
      </c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3"/>
    </row>
    <row r="54" ht="13.5" customHeight="1">
      <c r="A54" s="165"/>
      <c r="B54" s="166"/>
      <c r="C54" s="167"/>
      <c r="D54" s="168" t="s">
        <v>1654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 t="s">
        <v>742</v>
      </c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3"/>
    </row>
    <row r="55" ht="13.5" customHeight="1">
      <c r="A55" s="165"/>
      <c r="B55" s="166"/>
      <c r="C55" s="167"/>
      <c r="D55" s="168" t="s">
        <v>1655</v>
      </c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 t="s">
        <v>742</v>
      </c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3"/>
    </row>
    <row r="56" ht="13.5" customHeight="1">
      <c r="A56" s="165"/>
      <c r="B56" s="166"/>
      <c r="C56" s="167"/>
      <c r="D56" s="168" t="s">
        <v>1656</v>
      </c>
      <c r="E56" s="16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 t="s">
        <v>742</v>
      </c>
      <c r="Y56" s="152"/>
      <c r="Z56" s="152"/>
      <c r="AA56" s="152"/>
      <c r="AB56" s="152"/>
      <c r="AC56" s="152"/>
      <c r="AD56" s="152"/>
      <c r="AE56" s="152"/>
      <c r="AF56" s="152"/>
      <c r="AG56" s="152"/>
      <c r="AH56" s="153"/>
    </row>
    <row r="57" ht="13.5" customHeight="1">
      <c r="A57" s="165"/>
      <c r="B57" s="166"/>
      <c r="C57" s="167"/>
      <c r="D57" s="168" t="s">
        <v>1657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 t="s">
        <v>742</v>
      </c>
      <c r="Z57" s="152"/>
      <c r="AA57" s="152"/>
      <c r="AB57" s="152"/>
      <c r="AC57" s="152"/>
      <c r="AD57" s="152"/>
      <c r="AE57" s="152"/>
      <c r="AF57" s="152"/>
      <c r="AG57" s="152"/>
      <c r="AH57" s="153"/>
    </row>
    <row r="58" ht="13.5" customHeight="1">
      <c r="A58" s="165"/>
      <c r="B58" s="166"/>
      <c r="C58" s="167"/>
      <c r="D58" s="168" t="s">
        <v>1658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 t="s">
        <v>742</v>
      </c>
      <c r="AB58" s="152"/>
      <c r="AC58" s="152"/>
      <c r="AD58" s="152"/>
      <c r="AE58" s="152"/>
      <c r="AF58" s="152"/>
      <c r="AG58" s="152"/>
      <c r="AH58" s="153"/>
    </row>
    <row r="59" ht="13.5" customHeight="1">
      <c r="A59" s="165"/>
      <c r="B59" s="166"/>
      <c r="C59" s="167"/>
      <c r="D59" s="168" t="s">
        <v>1659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 t="s">
        <v>742</v>
      </c>
      <c r="AC59" s="152"/>
      <c r="AD59" s="152"/>
      <c r="AE59" s="152"/>
      <c r="AF59" s="152"/>
      <c r="AG59" s="152"/>
      <c r="AH59" s="153"/>
    </row>
    <row r="60" ht="13.5" customHeight="1">
      <c r="A60" s="165"/>
      <c r="B60" s="166"/>
      <c r="C60" s="167"/>
      <c r="D60" s="168" t="s">
        <v>1660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 t="s">
        <v>742</v>
      </c>
      <c r="AD60" s="152"/>
      <c r="AE60" s="152"/>
      <c r="AF60" s="152"/>
      <c r="AG60" s="152"/>
      <c r="AH60" s="153"/>
    </row>
    <row r="61" ht="13.5" customHeight="1">
      <c r="A61" s="165"/>
      <c r="B61" s="166"/>
      <c r="C61" s="167"/>
      <c r="D61" s="168" t="s">
        <v>1661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 t="s">
        <v>742</v>
      </c>
      <c r="AE61" s="152"/>
      <c r="AF61" s="152"/>
      <c r="AG61" s="152"/>
      <c r="AH61" s="153"/>
    </row>
    <row r="62" ht="13.5" customHeight="1">
      <c r="A62" s="165"/>
      <c r="B62" s="166"/>
      <c r="C62" s="167"/>
      <c r="D62" s="168" t="s">
        <v>1662</v>
      </c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 t="s">
        <v>742</v>
      </c>
      <c r="AF62" s="152"/>
      <c r="AG62" s="152"/>
      <c r="AH62" s="153"/>
    </row>
    <row r="63" ht="13.5" customHeight="1">
      <c r="A63" s="165"/>
      <c r="B63" s="166"/>
      <c r="C63" s="167"/>
      <c r="D63" s="168" t="s">
        <v>1663</v>
      </c>
      <c r="E63" s="169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 t="s">
        <v>742</v>
      </c>
      <c r="AG63" s="152"/>
      <c r="AH63" s="153"/>
    </row>
    <row r="64" ht="13.5" customHeight="1">
      <c r="A64" s="165"/>
      <c r="B64" s="166"/>
      <c r="C64" s="167"/>
      <c r="D64" s="168" t="s">
        <v>1664</v>
      </c>
      <c r="E64" s="169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 t="s">
        <v>742</v>
      </c>
      <c r="AH64" s="153"/>
    </row>
    <row r="65" ht="13.5" customHeight="1">
      <c r="A65" s="165"/>
      <c r="B65" s="166" t="s">
        <v>825</v>
      </c>
      <c r="C65" s="167"/>
      <c r="D65" s="168"/>
      <c r="E65" s="169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3"/>
    </row>
    <row r="66" ht="13.5" customHeight="1">
      <c r="A66" s="165"/>
      <c r="B66" s="166"/>
      <c r="C66" s="167"/>
      <c r="D66" s="168" t="s">
        <v>1665</v>
      </c>
      <c r="E66" s="169"/>
      <c r="F66" s="152"/>
      <c r="G66" s="152"/>
      <c r="H66" s="152" t="s">
        <v>742</v>
      </c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3"/>
    </row>
    <row r="67" ht="13.5" customHeight="1">
      <c r="A67" s="165"/>
      <c r="B67" s="166"/>
      <c r="C67" s="167"/>
      <c r="D67" s="168" t="s">
        <v>1666</v>
      </c>
      <c r="E67" s="169"/>
      <c r="F67" s="152"/>
      <c r="G67" s="152"/>
      <c r="H67" s="152"/>
      <c r="I67" s="152" t="s">
        <v>742</v>
      </c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3"/>
    </row>
    <row r="68" ht="13.5" customHeight="1">
      <c r="A68" s="165"/>
      <c r="B68" s="166"/>
      <c r="C68" s="167"/>
      <c r="D68" s="168" t="s">
        <v>1667</v>
      </c>
      <c r="E68" s="169"/>
      <c r="F68" s="152"/>
      <c r="G68" s="152"/>
      <c r="H68" s="152"/>
      <c r="I68" s="152"/>
      <c r="J68" s="152" t="s">
        <v>742</v>
      </c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3"/>
    </row>
    <row r="69" ht="13.5" customHeight="1">
      <c r="A69" s="165"/>
      <c r="B69" s="166"/>
      <c r="C69" s="167"/>
      <c r="D69" s="168" t="s">
        <v>1668</v>
      </c>
      <c r="E69" s="169"/>
      <c r="F69" s="152"/>
      <c r="G69" s="152"/>
      <c r="H69" s="152"/>
      <c r="I69" s="152"/>
      <c r="J69" s="152"/>
      <c r="K69" s="152" t="s">
        <v>742</v>
      </c>
      <c r="L69" s="152"/>
      <c r="M69" s="152"/>
      <c r="N69" s="152" t="s">
        <v>742</v>
      </c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3"/>
    </row>
    <row r="70" ht="13.5" customHeight="1">
      <c r="A70" s="165"/>
      <c r="B70" s="166"/>
      <c r="C70" s="167"/>
      <c r="D70" s="168" t="s">
        <v>1669</v>
      </c>
      <c r="E70" s="169"/>
      <c r="F70" s="152"/>
      <c r="G70" s="152"/>
      <c r="H70" s="152"/>
      <c r="I70" s="152"/>
      <c r="J70" s="152"/>
      <c r="K70" s="152"/>
      <c r="L70" s="152"/>
      <c r="M70" s="152"/>
      <c r="N70" s="152"/>
      <c r="O70" s="152" t="s">
        <v>742</v>
      </c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3"/>
    </row>
    <row r="71" ht="13.5" customHeight="1">
      <c r="A71" s="165"/>
      <c r="B71" s="166"/>
      <c r="C71" s="167"/>
      <c r="D71" s="168" t="s">
        <v>1670</v>
      </c>
      <c r="E71" s="169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 t="s">
        <v>742</v>
      </c>
      <c r="Q71" s="152"/>
      <c r="R71" s="152"/>
      <c r="S71" s="152"/>
      <c r="T71" s="152"/>
      <c r="U71" s="152"/>
      <c r="V71" s="152"/>
      <c r="W71" s="152"/>
      <c r="X71" s="152"/>
      <c r="Y71" s="152"/>
      <c r="Z71" s="152" t="s">
        <v>742</v>
      </c>
      <c r="AA71" s="152"/>
      <c r="AB71" s="152"/>
      <c r="AC71" s="152"/>
      <c r="AD71" s="152"/>
      <c r="AE71" s="152"/>
      <c r="AF71" s="152"/>
      <c r="AG71" s="152"/>
      <c r="AH71" s="153" t="s">
        <v>742</v>
      </c>
    </row>
    <row r="72" ht="13.5" customHeight="1">
      <c r="A72" s="165"/>
      <c r="B72" s="166"/>
      <c r="C72" s="167"/>
      <c r="D72" s="168" t="s">
        <v>1671</v>
      </c>
      <c r="E72" s="169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 t="s">
        <v>742</v>
      </c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3"/>
    </row>
    <row r="73" ht="13.5" customHeight="1">
      <c r="A73" s="165"/>
      <c r="B73" s="166"/>
      <c r="C73" s="167"/>
      <c r="D73" s="168" t="s">
        <v>1672</v>
      </c>
      <c r="E73" s="169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 t="s">
        <v>742</v>
      </c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3"/>
    </row>
    <row r="74" ht="13.5" customHeight="1">
      <c r="A74" s="165"/>
      <c r="B74" s="166"/>
      <c r="C74" s="167"/>
      <c r="D74" s="168" t="s">
        <v>1673</v>
      </c>
      <c r="E74" s="169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 t="s">
        <v>742</v>
      </c>
      <c r="U74" s="152" t="s">
        <v>742</v>
      </c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3"/>
    </row>
    <row r="75" ht="13.5" customHeight="1">
      <c r="A75" s="165"/>
      <c r="B75" s="166"/>
      <c r="C75" s="167"/>
      <c r="D75" s="168" t="s">
        <v>1674</v>
      </c>
      <c r="E75" s="169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 t="s">
        <v>742</v>
      </c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3"/>
    </row>
    <row r="76" ht="13.5" customHeight="1">
      <c r="A76" s="165"/>
      <c r="B76" s="166" t="s">
        <v>854</v>
      </c>
      <c r="C76" s="167"/>
      <c r="D76" s="168"/>
      <c r="E76" s="169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3"/>
    </row>
    <row r="77" ht="13.5" customHeight="1">
      <c r="A77" s="165"/>
      <c r="B77" s="170"/>
      <c r="C77" s="171"/>
      <c r="D77" s="172"/>
      <c r="E77" s="173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  <c r="AF77" s="174"/>
      <c r="AG77" s="174"/>
      <c r="AH77" s="175"/>
    </row>
    <row r="78" ht="13.5" customHeight="1">
      <c r="A78" s="160" t="s">
        <v>865</v>
      </c>
      <c r="B78" s="176" t="s">
        <v>866</v>
      </c>
      <c r="C78" s="177"/>
      <c r="D78" s="178"/>
      <c r="E78" s="179"/>
      <c r="F78" s="180" t="s">
        <v>54</v>
      </c>
      <c r="G78" s="180" t="s">
        <v>54</v>
      </c>
      <c r="H78" s="180" t="s">
        <v>55</v>
      </c>
      <c r="I78" s="180" t="s">
        <v>55</v>
      </c>
      <c r="J78" s="180" t="s">
        <v>57</v>
      </c>
      <c r="K78" s="180" t="s">
        <v>57</v>
      </c>
      <c r="L78" s="180" t="s">
        <v>57</v>
      </c>
      <c r="M78" s="180" t="s">
        <v>57</v>
      </c>
      <c r="N78" s="180" t="s">
        <v>55</v>
      </c>
      <c r="O78" s="180" t="s">
        <v>55</v>
      </c>
      <c r="P78" s="180" t="s">
        <v>55</v>
      </c>
      <c r="Q78" s="180" t="s">
        <v>54</v>
      </c>
      <c r="R78" s="180" t="s">
        <v>55</v>
      </c>
      <c r="S78" s="180" t="s">
        <v>57</v>
      </c>
      <c r="T78" s="180" t="s">
        <v>55</v>
      </c>
      <c r="U78" s="180" t="s">
        <v>55</v>
      </c>
      <c r="V78" s="180" t="s">
        <v>57</v>
      </c>
      <c r="W78" s="180" t="s">
        <v>55</v>
      </c>
      <c r="X78" s="180" t="s">
        <v>54</v>
      </c>
      <c r="Y78" s="180" t="s">
        <v>54</v>
      </c>
      <c r="Z78" s="180" t="s">
        <v>55</v>
      </c>
      <c r="AA78" s="180" t="s">
        <v>54</v>
      </c>
      <c r="AB78" s="180" t="s">
        <v>54</v>
      </c>
      <c r="AC78" s="180" t="s">
        <v>57</v>
      </c>
      <c r="AD78" s="180" t="s">
        <v>54</v>
      </c>
      <c r="AE78" s="180" t="s">
        <v>54</v>
      </c>
      <c r="AF78" s="180" t="s">
        <v>54</v>
      </c>
      <c r="AG78" s="180" t="s">
        <v>54</v>
      </c>
      <c r="AH78" s="181" t="s">
        <v>55</v>
      </c>
    </row>
    <row r="79" ht="13.5" customHeight="1">
      <c r="A79" s="165"/>
      <c r="B79" s="182" t="s">
        <v>867</v>
      </c>
      <c r="C79" s="27"/>
      <c r="D79" s="25"/>
      <c r="E79" s="183"/>
      <c r="F79" s="184" t="s">
        <v>868</v>
      </c>
      <c r="G79" s="184" t="s">
        <v>868</v>
      </c>
      <c r="H79" s="184" t="s">
        <v>868</v>
      </c>
      <c r="I79" s="184" t="s">
        <v>868</v>
      </c>
      <c r="J79" s="184" t="s">
        <v>868</v>
      </c>
      <c r="K79" s="184" t="s">
        <v>868</v>
      </c>
      <c r="L79" s="184" t="s">
        <v>868</v>
      </c>
      <c r="M79" s="184" t="s">
        <v>868</v>
      </c>
      <c r="N79" s="184" t="s">
        <v>868</v>
      </c>
      <c r="O79" s="184" t="s">
        <v>868</v>
      </c>
      <c r="P79" s="184" t="s">
        <v>868</v>
      </c>
      <c r="Q79" s="184" t="s">
        <v>868</v>
      </c>
      <c r="R79" s="184" t="s">
        <v>868</v>
      </c>
      <c r="S79" s="184" t="s">
        <v>868</v>
      </c>
      <c r="T79" s="184" t="s">
        <v>868</v>
      </c>
      <c r="U79" s="184" t="s">
        <v>868</v>
      </c>
      <c r="V79" s="184" t="s">
        <v>868</v>
      </c>
      <c r="W79" s="184" t="s">
        <v>868</v>
      </c>
      <c r="X79" s="184" t="s">
        <v>868</v>
      </c>
      <c r="Y79" s="184" t="s">
        <v>868</v>
      </c>
      <c r="Z79" s="184" t="s">
        <v>868</v>
      </c>
      <c r="AA79" s="184" t="s">
        <v>868</v>
      </c>
      <c r="AB79" s="184" t="s">
        <v>868</v>
      </c>
      <c r="AC79" s="184" t="s">
        <v>868</v>
      </c>
      <c r="AD79" s="184" t="s">
        <v>868</v>
      </c>
      <c r="AE79" s="184" t="s">
        <v>868</v>
      </c>
      <c r="AF79" s="184" t="s">
        <v>868</v>
      </c>
      <c r="AG79" s="184" t="s">
        <v>868</v>
      </c>
      <c r="AH79" s="185" t="s">
        <v>868</v>
      </c>
    </row>
    <row r="80" ht="99.75" customHeight="1">
      <c r="A80" s="165"/>
      <c r="B80" s="186" t="s">
        <v>869</v>
      </c>
      <c r="C80" s="27"/>
      <c r="D80" s="25"/>
      <c r="E80" s="169"/>
      <c r="F80" s="187">
        <v>46273.0</v>
      </c>
      <c r="G80" s="187">
        <v>46273.0</v>
      </c>
      <c r="H80" s="187">
        <v>46273.0</v>
      </c>
      <c r="I80" s="187">
        <v>46273.0</v>
      </c>
      <c r="J80" s="187">
        <v>46273.0</v>
      </c>
      <c r="K80" s="187">
        <v>46273.0</v>
      </c>
      <c r="L80" s="187">
        <v>46273.0</v>
      </c>
      <c r="M80" s="187">
        <v>46273.0</v>
      </c>
      <c r="N80" s="187">
        <v>46273.0</v>
      </c>
      <c r="O80" s="187">
        <v>46273.0</v>
      </c>
      <c r="P80" s="187">
        <v>46273.0</v>
      </c>
      <c r="Q80" s="187">
        <v>46273.0</v>
      </c>
      <c r="R80" s="187">
        <v>46273.0</v>
      </c>
      <c r="S80" s="187">
        <v>46273.0</v>
      </c>
      <c r="T80" s="187">
        <v>46273.0</v>
      </c>
      <c r="U80" s="187">
        <v>46273.0</v>
      </c>
      <c r="V80" s="187">
        <v>46273.0</v>
      </c>
      <c r="W80" s="187">
        <v>46273.0</v>
      </c>
      <c r="X80" s="187">
        <v>46273.0</v>
      </c>
      <c r="Y80" s="187">
        <v>46273.0</v>
      </c>
      <c r="Z80" s="187">
        <v>46273.0</v>
      </c>
      <c r="AA80" s="187">
        <v>46273.0</v>
      </c>
      <c r="AB80" s="187">
        <v>46273.0</v>
      </c>
      <c r="AC80" s="187">
        <v>46273.0</v>
      </c>
      <c r="AD80" s="187">
        <v>46273.0</v>
      </c>
      <c r="AE80" s="187">
        <v>46273.0</v>
      </c>
      <c r="AF80" s="187">
        <v>46273.0</v>
      </c>
      <c r="AG80" s="187">
        <v>46273.0</v>
      </c>
      <c r="AH80" s="189">
        <v>46273.0</v>
      </c>
    </row>
    <row r="81" ht="72.75" customHeight="1">
      <c r="A81" s="190"/>
      <c r="B81" s="191" t="s">
        <v>870</v>
      </c>
      <c r="C81" s="192"/>
      <c r="D81" s="193"/>
      <c r="E81" s="194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6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AH4"/>
    <mergeCell ref="C5:AH5"/>
    <mergeCell ref="A2:B2"/>
    <mergeCell ref="C2:E2"/>
    <mergeCell ref="F2:K2"/>
    <mergeCell ref="L2:AH2"/>
    <mergeCell ref="C3:E3"/>
    <mergeCell ref="F3:K3"/>
    <mergeCell ref="L3:AH3"/>
    <mergeCell ref="F6:K6"/>
    <mergeCell ref="L6:N6"/>
    <mergeCell ref="O6:AH6"/>
    <mergeCell ref="A7:B7"/>
    <mergeCell ref="C7:E7"/>
    <mergeCell ref="F7:K7"/>
    <mergeCell ref="O7:AH7"/>
    <mergeCell ref="B78:D78"/>
    <mergeCell ref="B79:D79"/>
    <mergeCell ref="B80:D80"/>
    <mergeCell ref="B81:D81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6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3.5" customHeight="1">
      <c r="A2" s="111" t="s">
        <v>707</v>
      </c>
      <c r="B2" s="112"/>
      <c r="C2" s="113" t="s">
        <v>311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321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3.5" customHeight="1">
      <c r="A4" s="117" t="s">
        <v>711</v>
      </c>
      <c r="B4" s="27"/>
      <c r="C4" s="122">
        <v>121.0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3.5" customHeight="1">
      <c r="A5" s="117" t="s">
        <v>713</v>
      </c>
      <c r="B5" s="27"/>
      <c r="C5" s="124" t="s">
        <v>1675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3.5" customHeight="1">
      <c r="A7" s="129">
        <f>COUNTIF(F73:Z73,"P")</f>
        <v>21</v>
      </c>
      <c r="B7" s="130"/>
      <c r="C7" s="131">
        <f>COUNTIF(F73:Z73,"F")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COUNTIF(F72:Z72,"N")</f>
        <v>10</v>
      </c>
      <c r="M7" s="132">
        <f>COUNTIF(F72:Z72,"A")</f>
        <v>7</v>
      </c>
      <c r="N7" s="132">
        <f>COUNTIF(F72:Z72,"B")</f>
        <v>4</v>
      </c>
      <c r="O7" s="133">
        <f>COUNTA(F9:Z9)</f>
        <v>21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40" t="s">
        <v>736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7"/>
    </row>
    <row r="11" ht="13.5" customHeight="1">
      <c r="A11" s="148"/>
      <c r="B11" s="149"/>
      <c r="C11" s="150"/>
      <c r="D11" s="151" t="s">
        <v>1676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3"/>
    </row>
    <row r="12" ht="13.5" customHeight="1">
      <c r="A12" s="148"/>
      <c r="B12" s="149"/>
      <c r="C12" s="150"/>
      <c r="D12" s="151" t="s">
        <v>1677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3"/>
    </row>
    <row r="13" ht="13.5" customHeight="1">
      <c r="A13" s="148"/>
      <c r="B13" s="149"/>
      <c r="C13" s="150"/>
      <c r="D13" s="151" t="s">
        <v>1678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3"/>
    </row>
    <row r="14" ht="13.5" customHeight="1">
      <c r="A14" s="148"/>
      <c r="B14" s="149"/>
      <c r="C14" s="150"/>
      <c r="D14" s="151" t="s">
        <v>1679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3"/>
    </row>
    <row r="15" ht="13.5" customHeight="1">
      <c r="A15" s="148"/>
      <c r="B15" s="149"/>
      <c r="C15" s="150"/>
      <c r="D15" s="151" t="s">
        <v>1680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3"/>
    </row>
    <row r="16" ht="13.5" customHeight="1">
      <c r="A16" s="148"/>
      <c r="B16" s="149"/>
      <c r="C16" s="150"/>
      <c r="D16" s="151" t="s">
        <v>1604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3"/>
    </row>
    <row r="17" ht="13.5" customHeight="1">
      <c r="A17" s="148"/>
      <c r="B17" s="149"/>
      <c r="C17" s="150"/>
      <c r="D17" s="151" t="s">
        <v>1618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3"/>
    </row>
    <row r="18" ht="13.5" customHeight="1">
      <c r="A18" s="148"/>
      <c r="B18" s="149"/>
      <c r="C18" s="150"/>
      <c r="D18" s="151" t="s">
        <v>1190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3"/>
    </row>
    <row r="19" ht="13.5" customHeight="1">
      <c r="A19" s="148"/>
      <c r="B19" s="149"/>
      <c r="C19" s="150"/>
      <c r="D19" s="151" t="s">
        <v>1682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3"/>
    </row>
    <row r="20" ht="13.5" customHeight="1">
      <c r="A20" s="148"/>
      <c r="B20" s="149"/>
      <c r="C20" s="150"/>
      <c r="D20" s="151" t="s">
        <v>1683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 t="s">
        <v>742</v>
      </c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3"/>
    </row>
    <row r="21" ht="13.5" customHeight="1">
      <c r="A21" s="148"/>
      <c r="B21" s="149"/>
      <c r="C21" s="150"/>
      <c r="D21" s="151" t="s">
        <v>1684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 t="s">
        <v>742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3"/>
    </row>
    <row r="22" ht="13.5" customHeight="1">
      <c r="A22" s="148"/>
      <c r="B22" s="149"/>
      <c r="C22" s="150"/>
      <c r="D22" s="151" t="s">
        <v>1685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 t="s">
        <v>742</v>
      </c>
      <c r="R22" s="152"/>
      <c r="S22" s="152"/>
      <c r="T22" s="152"/>
      <c r="U22" s="152"/>
      <c r="V22" s="152"/>
      <c r="W22" s="152"/>
      <c r="X22" s="152"/>
      <c r="Y22" s="152"/>
      <c r="Z22" s="153"/>
    </row>
    <row r="23" ht="13.5" customHeight="1">
      <c r="A23" s="148"/>
      <c r="B23" s="149"/>
      <c r="C23" s="150"/>
      <c r="D23" s="151" t="s">
        <v>1686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 t="s">
        <v>742</v>
      </c>
      <c r="S23" s="152"/>
      <c r="T23" s="152"/>
      <c r="U23" s="152"/>
      <c r="V23" s="152"/>
      <c r="W23" s="152"/>
      <c r="X23" s="152"/>
      <c r="Y23" s="152"/>
      <c r="Z23" s="153"/>
    </row>
    <row r="24" ht="13.5" customHeight="1">
      <c r="A24" s="148"/>
      <c r="B24" s="149"/>
      <c r="C24" s="150"/>
      <c r="D24" s="151" t="s">
        <v>1687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 t="s">
        <v>742</v>
      </c>
      <c r="T24" s="152"/>
      <c r="U24" s="152"/>
      <c r="V24" s="152"/>
      <c r="W24" s="152"/>
      <c r="X24" s="152"/>
      <c r="Y24" s="152"/>
      <c r="Z24" s="153"/>
    </row>
    <row r="25" ht="13.5" customHeight="1">
      <c r="A25" s="148"/>
      <c r="B25" s="149"/>
      <c r="C25" s="150"/>
      <c r="D25" s="151" t="s">
        <v>1455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 t="s">
        <v>742</v>
      </c>
      <c r="U25" s="152" t="s">
        <v>742</v>
      </c>
      <c r="V25" s="152" t="s">
        <v>742</v>
      </c>
      <c r="W25" s="152" t="s">
        <v>742</v>
      </c>
      <c r="X25" s="152" t="s">
        <v>742</v>
      </c>
      <c r="Y25" s="152"/>
      <c r="Z25" s="153"/>
    </row>
    <row r="26" ht="13.5" customHeight="1">
      <c r="A26" s="148"/>
      <c r="B26" s="149"/>
      <c r="C26" s="150"/>
      <c r="D26" s="151" t="s">
        <v>1688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 t="s">
        <v>742</v>
      </c>
      <c r="Z26" s="153"/>
    </row>
    <row r="27" ht="13.5" customHeight="1">
      <c r="A27" s="148"/>
      <c r="B27" s="149"/>
      <c r="C27" s="150"/>
      <c r="D27" s="151" t="s">
        <v>1404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3" t="s">
        <v>742</v>
      </c>
    </row>
    <row r="28" ht="13.5" customHeight="1">
      <c r="A28" s="148"/>
      <c r="B28" s="149" t="s">
        <v>768</v>
      </c>
      <c r="C28" s="150"/>
      <c r="D28" s="151"/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3"/>
    </row>
    <row r="29" ht="13.5" customHeight="1">
      <c r="A29" s="148"/>
      <c r="B29" s="149"/>
      <c r="C29" s="150"/>
      <c r="D29" s="151" t="s">
        <v>1689</v>
      </c>
      <c r="E29" s="145"/>
      <c r="F29" s="152" t="s">
        <v>742</v>
      </c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3"/>
    </row>
    <row r="30" ht="13.5" customHeight="1">
      <c r="A30" s="148"/>
      <c r="B30" s="149"/>
      <c r="C30" s="150"/>
      <c r="D30" s="151" t="s">
        <v>1640</v>
      </c>
      <c r="E30" s="145"/>
      <c r="F30" s="152"/>
      <c r="G30" s="152" t="s">
        <v>742</v>
      </c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3"/>
    </row>
    <row r="31" ht="13.5" customHeight="1">
      <c r="A31" s="148"/>
      <c r="B31" s="149"/>
      <c r="C31" s="150"/>
      <c r="D31" s="151" t="s">
        <v>1691</v>
      </c>
      <c r="E31" s="145"/>
      <c r="F31" s="152"/>
      <c r="G31" s="152"/>
      <c r="H31" s="152" t="s">
        <v>742</v>
      </c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3"/>
    </row>
    <row r="32" ht="13.5" customHeight="1">
      <c r="A32" s="148"/>
      <c r="B32" s="149"/>
      <c r="C32" s="150"/>
      <c r="D32" s="151" t="s">
        <v>1692</v>
      </c>
      <c r="E32" s="145"/>
      <c r="F32" s="152"/>
      <c r="G32" s="152"/>
      <c r="H32" s="152"/>
      <c r="I32" s="152" t="s">
        <v>742</v>
      </c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3"/>
    </row>
    <row r="33" ht="13.5" customHeight="1">
      <c r="A33" s="148"/>
      <c r="B33" s="149"/>
      <c r="C33" s="150"/>
      <c r="D33" s="151" t="s">
        <v>1693</v>
      </c>
      <c r="E33" s="145"/>
      <c r="F33" s="152"/>
      <c r="G33" s="152"/>
      <c r="H33" s="152"/>
      <c r="I33" s="152"/>
      <c r="J33" s="152" t="s">
        <v>742</v>
      </c>
      <c r="K33" s="152" t="s">
        <v>742</v>
      </c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3"/>
    </row>
    <row r="34" ht="13.5" customHeight="1">
      <c r="A34" s="148"/>
      <c r="B34" s="149"/>
      <c r="C34" s="150"/>
      <c r="D34" s="151" t="s">
        <v>1694</v>
      </c>
      <c r="E34" s="145"/>
      <c r="F34" s="152"/>
      <c r="G34" s="152"/>
      <c r="H34" s="152"/>
      <c r="I34" s="152"/>
      <c r="J34" s="152"/>
      <c r="K34" s="152"/>
      <c r="L34" s="152" t="s">
        <v>742</v>
      </c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3"/>
    </row>
    <row r="35" ht="13.5" customHeight="1">
      <c r="A35" s="148"/>
      <c r="B35" s="149"/>
      <c r="C35" s="150"/>
      <c r="D35" s="151" t="s">
        <v>1695</v>
      </c>
      <c r="E35" s="145"/>
      <c r="F35" s="152"/>
      <c r="G35" s="152"/>
      <c r="H35" s="152"/>
      <c r="I35" s="152"/>
      <c r="J35" s="152"/>
      <c r="K35" s="152"/>
      <c r="L35" s="152"/>
      <c r="M35" s="152" t="s">
        <v>742</v>
      </c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3"/>
    </row>
    <row r="36" ht="13.5" customHeight="1">
      <c r="A36" s="148"/>
      <c r="B36" s="149"/>
      <c r="C36" s="150"/>
      <c r="D36" s="151" t="s">
        <v>1696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 t="s">
        <v>742</v>
      </c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3"/>
    </row>
    <row r="37" ht="13.5" customHeight="1">
      <c r="A37" s="148"/>
      <c r="B37" s="149"/>
      <c r="C37" s="150"/>
      <c r="D37" s="151" t="s">
        <v>1697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 t="s">
        <v>742</v>
      </c>
      <c r="P37" s="152" t="s">
        <v>742</v>
      </c>
      <c r="Q37" s="152" t="s">
        <v>742</v>
      </c>
      <c r="R37" s="152" t="s">
        <v>742</v>
      </c>
      <c r="S37" s="152"/>
      <c r="T37" s="152"/>
      <c r="U37" s="152"/>
      <c r="V37" s="152"/>
      <c r="W37" s="152"/>
      <c r="X37" s="152"/>
      <c r="Y37" s="152" t="s">
        <v>742</v>
      </c>
      <c r="Z37" s="153"/>
    </row>
    <row r="38" ht="13.5" customHeight="1">
      <c r="A38" s="148"/>
      <c r="B38" s="149"/>
      <c r="C38" s="150"/>
      <c r="D38" s="151" t="s">
        <v>1556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 t="s">
        <v>742</v>
      </c>
      <c r="T38" s="152"/>
      <c r="U38" s="152"/>
      <c r="V38" s="152"/>
      <c r="W38" s="152"/>
      <c r="X38" s="152"/>
      <c r="Y38" s="152"/>
      <c r="Z38" s="153"/>
    </row>
    <row r="39" ht="13.5" customHeight="1">
      <c r="A39" s="148"/>
      <c r="B39" s="149"/>
      <c r="C39" s="150"/>
      <c r="D39" s="151" t="s">
        <v>1698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 t="s">
        <v>742</v>
      </c>
      <c r="U39" s="152"/>
      <c r="V39" s="152"/>
      <c r="W39" s="152"/>
      <c r="X39" s="152"/>
      <c r="Y39" s="152"/>
      <c r="Z39" s="153"/>
    </row>
    <row r="40" ht="13.5" customHeight="1">
      <c r="A40" s="148"/>
      <c r="B40" s="149"/>
      <c r="C40" s="150"/>
      <c r="D40" s="151" t="s">
        <v>1700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 t="s">
        <v>742</v>
      </c>
      <c r="V40" s="152"/>
      <c r="W40" s="152"/>
      <c r="X40" s="152"/>
      <c r="Y40" s="152"/>
      <c r="Z40" s="153"/>
    </row>
    <row r="41" ht="13.5" customHeight="1">
      <c r="A41" s="148"/>
      <c r="B41" s="149"/>
      <c r="C41" s="150"/>
      <c r="D41" s="151" t="s">
        <v>1701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 t="s">
        <v>742</v>
      </c>
      <c r="W41" s="152"/>
      <c r="X41" s="152"/>
      <c r="Y41" s="152"/>
      <c r="Z41" s="153"/>
    </row>
    <row r="42" ht="13.5" customHeight="1">
      <c r="A42" s="148"/>
      <c r="B42" s="149"/>
      <c r="C42" s="150"/>
      <c r="D42" s="151" t="s">
        <v>1702</v>
      </c>
      <c r="E42" s="145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 t="s">
        <v>742</v>
      </c>
      <c r="X42" s="152"/>
      <c r="Y42" s="152"/>
      <c r="Z42" s="153"/>
    </row>
    <row r="43" ht="13.5" customHeight="1">
      <c r="A43" s="148"/>
      <c r="B43" s="149"/>
      <c r="C43" s="150"/>
      <c r="D43" s="151" t="s">
        <v>1703</v>
      </c>
      <c r="E43" s="145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 t="s">
        <v>742</v>
      </c>
      <c r="Y43" s="152"/>
      <c r="Z43" s="153"/>
    </row>
    <row r="44" ht="13.5" customHeight="1">
      <c r="A44" s="148"/>
      <c r="B44" s="149"/>
      <c r="C44" s="150"/>
      <c r="D44" s="151" t="s">
        <v>1704</v>
      </c>
      <c r="E44" s="145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3" t="s">
        <v>742</v>
      </c>
    </row>
    <row r="45" ht="13.5" customHeight="1">
      <c r="A45" s="148"/>
      <c r="B45" s="154"/>
      <c r="C45" s="155"/>
      <c r="D45" s="156"/>
      <c r="E45" s="157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9"/>
    </row>
    <row r="46" ht="13.5" customHeight="1">
      <c r="A46" s="160" t="s">
        <v>802</v>
      </c>
      <c r="B46" s="161" t="s">
        <v>804</v>
      </c>
      <c r="C46" s="162"/>
      <c r="D46" s="163"/>
      <c r="E46" s="164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7"/>
    </row>
    <row r="47" ht="13.5" customHeight="1">
      <c r="A47" s="165"/>
      <c r="B47" s="166"/>
      <c r="C47" s="167"/>
      <c r="D47" s="168" t="s">
        <v>1708</v>
      </c>
      <c r="E47" s="169"/>
      <c r="F47" s="152" t="s">
        <v>742</v>
      </c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3"/>
    </row>
    <row r="48" ht="13.5" customHeight="1">
      <c r="A48" s="165"/>
      <c r="B48" s="166"/>
      <c r="C48" s="167"/>
      <c r="D48" s="168" t="s">
        <v>1710</v>
      </c>
      <c r="E48" s="169"/>
      <c r="F48" s="152" t="s">
        <v>742</v>
      </c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3"/>
    </row>
    <row r="49" ht="13.5" customHeight="1">
      <c r="A49" s="165"/>
      <c r="B49" s="166"/>
      <c r="C49" s="167"/>
      <c r="D49" s="168" t="s">
        <v>1712</v>
      </c>
      <c r="E49" s="169"/>
      <c r="F49" s="152"/>
      <c r="G49" s="152" t="s">
        <v>742</v>
      </c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3"/>
    </row>
    <row r="50" ht="13.5" customHeight="1">
      <c r="A50" s="165"/>
      <c r="B50" s="166"/>
      <c r="C50" s="167"/>
      <c r="D50" s="168" t="s">
        <v>1714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 t="s">
        <v>742</v>
      </c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3"/>
    </row>
    <row r="51" ht="13.5" customHeight="1">
      <c r="A51" s="165"/>
      <c r="B51" s="166"/>
      <c r="C51" s="167"/>
      <c r="D51" s="168" t="s">
        <v>1718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 t="s">
        <v>742</v>
      </c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3"/>
    </row>
    <row r="52" ht="13.5" customHeight="1">
      <c r="A52" s="165"/>
      <c r="B52" s="166"/>
      <c r="C52" s="167"/>
      <c r="D52" s="168" t="s">
        <v>1721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 t="s">
        <v>742</v>
      </c>
      <c r="Q52" s="152"/>
      <c r="R52" s="152"/>
      <c r="S52" s="152"/>
      <c r="T52" s="152"/>
      <c r="U52" s="152"/>
      <c r="V52" s="152"/>
      <c r="W52" s="152"/>
      <c r="X52" s="152"/>
      <c r="Y52" s="152"/>
      <c r="Z52" s="153"/>
    </row>
    <row r="53" ht="13.5" customHeight="1">
      <c r="A53" s="165"/>
      <c r="B53" s="166"/>
      <c r="C53" s="167"/>
      <c r="D53" s="168" t="s">
        <v>1723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 t="s">
        <v>742</v>
      </c>
      <c r="R53" s="152"/>
      <c r="S53" s="152"/>
      <c r="T53" s="152"/>
      <c r="U53" s="152"/>
      <c r="V53" s="152"/>
      <c r="W53" s="152"/>
      <c r="X53" s="152"/>
      <c r="Y53" s="152"/>
      <c r="Z53" s="153"/>
    </row>
    <row r="54" ht="13.5" customHeight="1">
      <c r="A54" s="165"/>
      <c r="B54" s="166"/>
      <c r="C54" s="167"/>
      <c r="D54" s="168" t="s">
        <v>1725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 t="s">
        <v>742</v>
      </c>
      <c r="S54" s="152"/>
      <c r="T54" s="152"/>
      <c r="U54" s="152"/>
      <c r="V54" s="152"/>
      <c r="W54" s="152"/>
      <c r="X54" s="152"/>
      <c r="Y54" s="152"/>
      <c r="Z54" s="153"/>
    </row>
    <row r="55" ht="13.5" customHeight="1">
      <c r="A55" s="165"/>
      <c r="B55" s="166"/>
      <c r="C55" s="167"/>
      <c r="D55" s="168" t="s">
        <v>1728</v>
      </c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 t="s">
        <v>742</v>
      </c>
      <c r="T55" s="152"/>
      <c r="U55" s="152"/>
      <c r="V55" s="152"/>
      <c r="W55" s="152"/>
      <c r="X55" s="152"/>
      <c r="Y55" s="152"/>
      <c r="Z55" s="153"/>
    </row>
    <row r="56" ht="13.5" customHeight="1">
      <c r="A56" s="165"/>
      <c r="B56" s="166"/>
      <c r="C56" s="167"/>
      <c r="D56" s="168" t="s">
        <v>1731</v>
      </c>
      <c r="E56" s="16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 t="s">
        <v>742</v>
      </c>
      <c r="U56" s="152"/>
      <c r="V56" s="152"/>
      <c r="W56" s="152"/>
      <c r="X56" s="152"/>
      <c r="Y56" s="152"/>
      <c r="Z56" s="153"/>
    </row>
    <row r="57" ht="13.5" customHeight="1">
      <c r="A57" s="165"/>
      <c r="B57" s="166"/>
      <c r="C57" s="167"/>
      <c r="D57" s="168" t="s">
        <v>1733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 t="s">
        <v>742</v>
      </c>
      <c r="V57" s="152"/>
      <c r="W57" s="152"/>
      <c r="X57" s="152"/>
      <c r="Y57" s="152"/>
      <c r="Z57" s="153"/>
    </row>
    <row r="58" ht="13.5" customHeight="1">
      <c r="A58" s="165"/>
      <c r="B58" s="166"/>
      <c r="C58" s="167"/>
      <c r="D58" s="168" t="s">
        <v>1735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 t="s">
        <v>742</v>
      </c>
      <c r="W58" s="152"/>
      <c r="X58" s="152"/>
      <c r="Y58" s="152"/>
      <c r="Z58" s="153"/>
    </row>
    <row r="59" ht="13.5" customHeight="1">
      <c r="A59" s="165"/>
      <c r="B59" s="166"/>
      <c r="C59" s="167"/>
      <c r="D59" s="168" t="s">
        <v>1737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 t="s">
        <v>742</v>
      </c>
      <c r="X59" s="152"/>
      <c r="Y59" s="152"/>
      <c r="Z59" s="153"/>
    </row>
    <row r="60" ht="13.5" customHeight="1">
      <c r="A60" s="165"/>
      <c r="B60" s="166"/>
      <c r="C60" s="167"/>
      <c r="D60" s="168" t="s">
        <v>1739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 t="s">
        <v>742</v>
      </c>
      <c r="Y60" s="152"/>
      <c r="Z60" s="153"/>
    </row>
    <row r="61" ht="13.5" customHeight="1">
      <c r="A61" s="165"/>
      <c r="B61" s="166"/>
      <c r="C61" s="167"/>
      <c r="D61" s="168" t="s">
        <v>1742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 t="s">
        <v>742</v>
      </c>
      <c r="Z61" s="153"/>
    </row>
    <row r="62" ht="13.5" customHeight="1">
      <c r="A62" s="165"/>
      <c r="B62" s="166" t="s">
        <v>825</v>
      </c>
      <c r="C62" s="167"/>
      <c r="D62" s="168"/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3"/>
    </row>
    <row r="63" ht="13.5" customHeight="1">
      <c r="A63" s="165"/>
      <c r="B63" s="166"/>
      <c r="C63" s="167"/>
      <c r="D63" s="168" t="s">
        <v>1747</v>
      </c>
      <c r="E63" s="169"/>
      <c r="F63" s="152"/>
      <c r="G63" s="152"/>
      <c r="H63" s="152" t="s">
        <v>742</v>
      </c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3"/>
    </row>
    <row r="64" ht="13.5" customHeight="1">
      <c r="A64" s="165"/>
      <c r="B64" s="166"/>
      <c r="C64" s="167"/>
      <c r="D64" s="168" t="s">
        <v>1749</v>
      </c>
      <c r="E64" s="169"/>
      <c r="F64" s="152"/>
      <c r="G64" s="152"/>
      <c r="H64" s="152"/>
      <c r="I64" s="152" t="s">
        <v>742</v>
      </c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3"/>
    </row>
    <row r="65" ht="13.5" customHeight="1">
      <c r="A65" s="165"/>
      <c r="B65" s="166"/>
      <c r="C65" s="167"/>
      <c r="D65" s="168" t="s">
        <v>1752</v>
      </c>
      <c r="E65" s="169"/>
      <c r="F65" s="152"/>
      <c r="G65" s="152"/>
      <c r="H65" s="152"/>
      <c r="I65" s="152"/>
      <c r="J65" s="152" t="s">
        <v>742</v>
      </c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3"/>
    </row>
    <row r="66" ht="13.5" customHeight="1">
      <c r="A66" s="165"/>
      <c r="B66" s="166"/>
      <c r="C66" s="167"/>
      <c r="D66" s="168" t="s">
        <v>1755</v>
      </c>
      <c r="E66" s="169"/>
      <c r="F66" s="152"/>
      <c r="G66" s="152"/>
      <c r="H66" s="152"/>
      <c r="I66" s="152"/>
      <c r="J66" s="152"/>
      <c r="K66" s="152" t="s">
        <v>742</v>
      </c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3"/>
    </row>
    <row r="67" ht="13.5" customHeight="1">
      <c r="A67" s="165"/>
      <c r="B67" s="166"/>
      <c r="C67" s="167"/>
      <c r="D67" s="168" t="s">
        <v>1670</v>
      </c>
      <c r="E67" s="169"/>
      <c r="F67" s="152"/>
      <c r="G67" s="152"/>
      <c r="H67" s="152"/>
      <c r="I67" s="152"/>
      <c r="J67" s="152"/>
      <c r="K67" s="152"/>
      <c r="L67" s="152" t="s">
        <v>742</v>
      </c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3"/>
    </row>
    <row r="68" ht="13.5" customHeight="1">
      <c r="A68" s="165"/>
      <c r="B68" s="166"/>
      <c r="C68" s="167"/>
      <c r="D68" s="168" t="s">
        <v>1466</v>
      </c>
      <c r="E68" s="169"/>
      <c r="F68" s="152"/>
      <c r="G68" s="152"/>
      <c r="H68" s="152"/>
      <c r="I68" s="152"/>
      <c r="J68" s="152"/>
      <c r="K68" s="152"/>
      <c r="L68" s="152"/>
      <c r="M68" s="152" t="s">
        <v>742</v>
      </c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3"/>
    </row>
    <row r="69" ht="13.5" customHeight="1">
      <c r="A69" s="165"/>
      <c r="B69" s="166"/>
      <c r="C69" s="167"/>
      <c r="D69" s="168" t="s">
        <v>1761</v>
      </c>
      <c r="E69" s="169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3" t="s">
        <v>742</v>
      </c>
    </row>
    <row r="70" ht="13.5" customHeight="1">
      <c r="A70" s="165"/>
      <c r="B70" s="166" t="s">
        <v>854</v>
      </c>
      <c r="C70" s="167"/>
      <c r="D70" s="168"/>
      <c r="E70" s="169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3"/>
    </row>
    <row r="71" ht="13.5" customHeight="1">
      <c r="A71" s="165"/>
      <c r="B71" s="170"/>
      <c r="C71" s="171"/>
      <c r="D71" s="172"/>
      <c r="E71" s="173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5"/>
    </row>
    <row r="72" ht="13.5" customHeight="1">
      <c r="A72" s="160" t="s">
        <v>865</v>
      </c>
      <c r="B72" s="176" t="s">
        <v>866</v>
      </c>
      <c r="C72" s="177"/>
      <c r="D72" s="178"/>
      <c r="E72" s="179"/>
      <c r="F72" s="180" t="s">
        <v>54</v>
      </c>
      <c r="G72" s="180" t="s">
        <v>54</v>
      </c>
      <c r="H72" s="180" t="s">
        <v>55</v>
      </c>
      <c r="I72" s="180" t="s">
        <v>55</v>
      </c>
      <c r="J72" s="180" t="s">
        <v>55</v>
      </c>
      <c r="K72" s="180" t="s">
        <v>57</v>
      </c>
      <c r="L72" s="180" t="s">
        <v>55</v>
      </c>
      <c r="M72" s="180" t="s">
        <v>55</v>
      </c>
      <c r="N72" s="180" t="s">
        <v>54</v>
      </c>
      <c r="O72" s="180" t="s">
        <v>54</v>
      </c>
      <c r="P72" s="180" t="s">
        <v>54</v>
      </c>
      <c r="Q72" s="180" t="s">
        <v>54</v>
      </c>
      <c r="R72" s="180" t="s">
        <v>54</v>
      </c>
      <c r="S72" s="180" t="s">
        <v>54</v>
      </c>
      <c r="T72" s="180" t="s">
        <v>57</v>
      </c>
      <c r="U72" s="180" t="s">
        <v>57</v>
      </c>
      <c r="V72" s="180" t="s">
        <v>57</v>
      </c>
      <c r="W72" s="180" t="s">
        <v>55</v>
      </c>
      <c r="X72" s="180" t="s">
        <v>54</v>
      </c>
      <c r="Y72" s="180" t="s">
        <v>54</v>
      </c>
      <c r="Z72" s="181" t="s">
        <v>55</v>
      </c>
    </row>
    <row r="73" ht="13.5" customHeight="1">
      <c r="A73" s="165"/>
      <c r="B73" s="182" t="s">
        <v>867</v>
      </c>
      <c r="C73" s="27"/>
      <c r="D73" s="25"/>
      <c r="E73" s="183"/>
      <c r="F73" s="184" t="s">
        <v>868</v>
      </c>
      <c r="G73" s="184" t="s">
        <v>868</v>
      </c>
      <c r="H73" s="184" t="s">
        <v>868</v>
      </c>
      <c r="I73" s="184" t="s">
        <v>868</v>
      </c>
      <c r="J73" s="184" t="s">
        <v>868</v>
      </c>
      <c r="K73" s="184" t="s">
        <v>868</v>
      </c>
      <c r="L73" s="184" t="s">
        <v>868</v>
      </c>
      <c r="M73" s="184" t="s">
        <v>868</v>
      </c>
      <c r="N73" s="184" t="s">
        <v>868</v>
      </c>
      <c r="O73" s="184" t="s">
        <v>868</v>
      </c>
      <c r="P73" s="184" t="s">
        <v>868</v>
      </c>
      <c r="Q73" s="184" t="s">
        <v>868</v>
      </c>
      <c r="R73" s="184" t="s">
        <v>868</v>
      </c>
      <c r="S73" s="184" t="s">
        <v>868</v>
      </c>
      <c r="T73" s="184" t="s">
        <v>868</v>
      </c>
      <c r="U73" s="184" t="s">
        <v>868</v>
      </c>
      <c r="V73" s="184" t="s">
        <v>868</v>
      </c>
      <c r="W73" s="184" t="s">
        <v>868</v>
      </c>
      <c r="X73" s="184" t="s">
        <v>868</v>
      </c>
      <c r="Y73" s="184" t="s">
        <v>868</v>
      </c>
      <c r="Z73" s="185" t="s">
        <v>868</v>
      </c>
    </row>
    <row r="74" ht="99.75" customHeight="1">
      <c r="A74" s="165"/>
      <c r="B74" s="186" t="s">
        <v>869</v>
      </c>
      <c r="C74" s="27"/>
      <c r="D74" s="25"/>
      <c r="E74" s="169"/>
      <c r="F74" s="187">
        <v>46273.0</v>
      </c>
      <c r="G74" s="187">
        <v>46273.0</v>
      </c>
      <c r="H74" s="187">
        <v>46273.0</v>
      </c>
      <c r="I74" s="187">
        <v>46273.0</v>
      </c>
      <c r="J74" s="187">
        <v>46273.0</v>
      </c>
      <c r="K74" s="187">
        <v>46273.0</v>
      </c>
      <c r="L74" s="187">
        <v>46273.0</v>
      </c>
      <c r="M74" s="187">
        <v>46273.0</v>
      </c>
      <c r="N74" s="187">
        <v>46273.0</v>
      </c>
      <c r="O74" s="187">
        <v>46273.0</v>
      </c>
      <c r="P74" s="187">
        <v>46273.0</v>
      </c>
      <c r="Q74" s="187">
        <v>46273.0</v>
      </c>
      <c r="R74" s="187">
        <v>46273.0</v>
      </c>
      <c r="S74" s="187">
        <v>46273.0</v>
      </c>
      <c r="T74" s="187">
        <v>46273.0</v>
      </c>
      <c r="U74" s="187">
        <v>46273.0</v>
      </c>
      <c r="V74" s="187">
        <v>46273.0</v>
      </c>
      <c r="W74" s="187">
        <v>46273.0</v>
      </c>
      <c r="X74" s="187">
        <v>46273.0</v>
      </c>
      <c r="Y74" s="187">
        <v>46273.0</v>
      </c>
      <c r="Z74" s="189">
        <v>46273.0</v>
      </c>
    </row>
    <row r="75" ht="72.75" customHeight="1">
      <c r="A75" s="190"/>
      <c r="B75" s="191" t="s">
        <v>870</v>
      </c>
      <c r="C75" s="192"/>
      <c r="D75" s="193"/>
      <c r="E75" s="194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6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Z4"/>
    <mergeCell ref="C5:Z5"/>
    <mergeCell ref="A2:B2"/>
    <mergeCell ref="C2:E2"/>
    <mergeCell ref="F2:K2"/>
    <mergeCell ref="L2:Z2"/>
    <mergeCell ref="C3:E3"/>
    <mergeCell ref="F3:K3"/>
    <mergeCell ref="L3:Z3"/>
    <mergeCell ref="F6:K6"/>
    <mergeCell ref="L6:N6"/>
    <mergeCell ref="O6:Z6"/>
    <mergeCell ref="A7:B7"/>
    <mergeCell ref="C7:E7"/>
    <mergeCell ref="F7:K7"/>
    <mergeCell ref="O7:Z7"/>
    <mergeCell ref="B72:D72"/>
    <mergeCell ref="B73:D73"/>
    <mergeCell ref="B74:D74"/>
    <mergeCell ref="B75:D75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33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</row>
    <row r="2" ht="27.0" customHeight="1">
      <c r="A2" s="111" t="s">
        <v>707</v>
      </c>
      <c r="B2" s="112"/>
      <c r="C2" s="113" t="s">
        <v>318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322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</row>
    <row r="4" ht="13.5" customHeight="1">
      <c r="A4" s="117" t="s">
        <v>711</v>
      </c>
      <c r="B4" s="27"/>
      <c r="C4" s="122">
        <v>245.0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</row>
    <row r="5" ht="13.5" customHeight="1">
      <c r="A5" s="117" t="s">
        <v>713</v>
      </c>
      <c r="B5" s="27"/>
      <c r="C5" s="124" t="s">
        <v>1681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</row>
    <row r="7" ht="13.5" customHeight="1">
      <c r="A7" s="129">
        <f>COUNTIF(F97:AG97,"P")</f>
        <v>28</v>
      </c>
      <c r="B7" s="130"/>
      <c r="C7" s="131">
        <f>COUNTIF(F97:AG97,"F")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COUNTIF(F96:AG96,"N")</f>
        <v>13</v>
      </c>
      <c r="M7" s="132">
        <f>COUNTIF(F96:AG96,"A")</f>
        <v>5</v>
      </c>
      <c r="N7" s="132">
        <f>COUNTIF(F96:AG96,"B")</f>
        <v>10</v>
      </c>
      <c r="O7" s="133">
        <f>COUNTA(F9:AG9)</f>
        <v>28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39" t="s">
        <v>736</v>
      </c>
      <c r="AA9" s="139" t="s">
        <v>737</v>
      </c>
      <c r="AB9" s="139" t="s">
        <v>738</v>
      </c>
      <c r="AC9" s="139" t="s">
        <v>876</v>
      </c>
      <c r="AD9" s="139" t="s">
        <v>1355</v>
      </c>
      <c r="AE9" s="139" t="s">
        <v>1356</v>
      </c>
      <c r="AF9" s="139" t="s">
        <v>1357</v>
      </c>
      <c r="AG9" s="140" t="s">
        <v>1358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7"/>
    </row>
    <row r="11" ht="13.5" customHeight="1">
      <c r="A11" s="148"/>
      <c r="B11" s="149"/>
      <c r="C11" s="150"/>
      <c r="D11" s="151" t="s">
        <v>1699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3"/>
    </row>
    <row r="12" ht="13.5" customHeight="1">
      <c r="A12" s="148"/>
      <c r="B12" s="149"/>
      <c r="C12" s="150"/>
      <c r="D12" s="151" t="s">
        <v>991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3"/>
    </row>
    <row r="13" ht="13.5" customHeight="1">
      <c r="A13" s="148"/>
      <c r="B13" s="149"/>
      <c r="C13" s="150"/>
      <c r="D13" s="151" t="s">
        <v>1190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3"/>
    </row>
    <row r="14" ht="13.5" customHeight="1">
      <c r="A14" s="148"/>
      <c r="B14" s="149"/>
      <c r="C14" s="150"/>
      <c r="D14" s="151" t="s">
        <v>1705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3"/>
    </row>
    <row r="15" ht="13.5" customHeight="1">
      <c r="A15" s="148"/>
      <c r="B15" s="149"/>
      <c r="C15" s="150"/>
      <c r="D15" s="151" t="s">
        <v>1706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3"/>
    </row>
    <row r="16" ht="13.5" customHeight="1">
      <c r="A16" s="148"/>
      <c r="B16" s="149"/>
      <c r="C16" s="150"/>
      <c r="D16" s="151" t="s">
        <v>1707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3"/>
    </row>
    <row r="17" ht="13.5" customHeight="1">
      <c r="A17" s="148"/>
      <c r="B17" s="149"/>
      <c r="C17" s="150"/>
      <c r="D17" s="151" t="s">
        <v>1709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3"/>
    </row>
    <row r="18" ht="13.5" customHeight="1">
      <c r="A18" s="148"/>
      <c r="B18" s="149"/>
      <c r="C18" s="150"/>
      <c r="D18" s="151" t="s">
        <v>1713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3"/>
    </row>
    <row r="19" ht="13.5" customHeight="1">
      <c r="A19" s="148"/>
      <c r="B19" s="149"/>
      <c r="C19" s="150"/>
      <c r="D19" s="151" t="s">
        <v>1716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3"/>
    </row>
    <row r="20" ht="13.5" customHeight="1">
      <c r="A20" s="148"/>
      <c r="B20" s="149"/>
      <c r="C20" s="150"/>
      <c r="D20" s="151" t="s">
        <v>1720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 t="s">
        <v>742</v>
      </c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3"/>
    </row>
    <row r="21" ht="13.5" customHeight="1">
      <c r="A21" s="148"/>
      <c r="B21" s="149"/>
      <c r="C21" s="150"/>
      <c r="D21" s="151" t="s">
        <v>1455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 t="s">
        <v>742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3"/>
    </row>
    <row r="22" ht="13.5" customHeight="1">
      <c r="A22" s="148"/>
      <c r="B22" s="149"/>
      <c r="C22" s="150"/>
      <c r="D22" s="151" t="s">
        <v>1726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 t="s">
        <v>742</v>
      </c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3"/>
    </row>
    <row r="23" ht="13.5" customHeight="1">
      <c r="A23" s="148"/>
      <c r="B23" s="149"/>
      <c r="C23" s="150"/>
      <c r="D23" s="151" t="s">
        <v>1730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 t="s">
        <v>742</v>
      </c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3"/>
    </row>
    <row r="24" ht="13.5" customHeight="1">
      <c r="A24" s="148"/>
      <c r="B24" s="149"/>
      <c r="C24" s="150"/>
      <c r="D24" s="151" t="s">
        <v>1736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 t="s">
        <v>742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3"/>
    </row>
    <row r="25" ht="13.5" customHeight="1">
      <c r="A25" s="148"/>
      <c r="B25" s="149"/>
      <c r="C25" s="150"/>
      <c r="D25" s="151" t="s">
        <v>1738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 t="s">
        <v>742</v>
      </c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3"/>
    </row>
    <row r="26" ht="13.5" customHeight="1">
      <c r="A26" s="148"/>
      <c r="B26" s="149"/>
      <c r="C26" s="150"/>
      <c r="D26" s="151" t="s">
        <v>1740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 t="s">
        <v>742</v>
      </c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3"/>
    </row>
    <row r="27" ht="13.5" customHeight="1">
      <c r="A27" s="148"/>
      <c r="B27" s="149"/>
      <c r="C27" s="150"/>
      <c r="D27" s="151" t="s">
        <v>1743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 t="s">
        <v>742</v>
      </c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3"/>
    </row>
    <row r="28" ht="13.5" customHeight="1">
      <c r="A28" s="148"/>
      <c r="B28" s="149"/>
      <c r="C28" s="150"/>
      <c r="D28" s="151" t="s">
        <v>1746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 t="s">
        <v>742</v>
      </c>
      <c r="X28" s="152"/>
      <c r="Y28" s="152"/>
      <c r="Z28" s="152"/>
      <c r="AA28" s="152"/>
      <c r="AB28" s="152"/>
      <c r="AC28" s="152"/>
      <c r="AD28" s="152"/>
      <c r="AE28" s="152"/>
      <c r="AF28" s="152"/>
      <c r="AG28" s="153"/>
    </row>
    <row r="29" ht="13.5" customHeight="1">
      <c r="A29" s="148"/>
      <c r="B29" s="149"/>
      <c r="C29" s="150"/>
      <c r="D29" s="151" t="s">
        <v>1750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 t="s">
        <v>742</v>
      </c>
      <c r="Y29" s="152"/>
      <c r="Z29" s="152"/>
      <c r="AA29" s="152"/>
      <c r="AB29" s="152"/>
      <c r="AC29" s="152"/>
      <c r="AD29" s="152"/>
      <c r="AE29" s="152"/>
      <c r="AF29" s="152"/>
      <c r="AG29" s="153"/>
    </row>
    <row r="30" ht="13.5" customHeight="1">
      <c r="A30" s="148"/>
      <c r="B30" s="149"/>
      <c r="C30" s="150"/>
      <c r="D30" s="151" t="s">
        <v>1754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 t="s">
        <v>742</v>
      </c>
      <c r="Z30" s="152"/>
      <c r="AA30" s="152"/>
      <c r="AB30" s="152"/>
      <c r="AC30" s="152"/>
      <c r="AD30" s="152"/>
      <c r="AE30" s="152"/>
      <c r="AF30" s="152"/>
      <c r="AG30" s="153"/>
    </row>
    <row r="31" ht="13.5" customHeight="1">
      <c r="A31" s="148"/>
      <c r="B31" s="149"/>
      <c r="C31" s="150"/>
      <c r="D31" s="151" t="s">
        <v>1757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 t="s">
        <v>742</v>
      </c>
      <c r="AA31" s="152"/>
      <c r="AB31" s="152"/>
      <c r="AC31" s="152"/>
      <c r="AD31" s="152"/>
      <c r="AE31" s="152"/>
      <c r="AF31" s="152"/>
      <c r="AG31" s="153"/>
    </row>
    <row r="32" ht="13.5" customHeight="1">
      <c r="A32" s="148"/>
      <c r="B32" s="149"/>
      <c r="C32" s="150"/>
      <c r="D32" s="151" t="s">
        <v>1759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 t="s">
        <v>742</v>
      </c>
      <c r="AB32" s="152"/>
      <c r="AC32" s="152"/>
      <c r="AD32" s="152"/>
      <c r="AE32" s="152"/>
      <c r="AF32" s="152"/>
      <c r="AG32" s="153"/>
    </row>
    <row r="33" ht="13.5" customHeight="1">
      <c r="A33" s="148"/>
      <c r="B33" s="149"/>
      <c r="C33" s="150"/>
      <c r="D33" s="151" t="s">
        <v>1762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 t="s">
        <v>742</v>
      </c>
      <c r="AC33" s="152"/>
      <c r="AD33" s="152"/>
      <c r="AE33" s="152"/>
      <c r="AF33" s="152"/>
      <c r="AG33" s="153"/>
    </row>
    <row r="34" ht="13.5" customHeight="1">
      <c r="A34" s="148"/>
      <c r="B34" s="149"/>
      <c r="C34" s="150"/>
      <c r="D34" s="151" t="s">
        <v>1765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 t="s">
        <v>742</v>
      </c>
      <c r="AD34" s="152"/>
      <c r="AE34" s="152"/>
      <c r="AF34" s="152"/>
      <c r="AG34" s="153"/>
    </row>
    <row r="35" ht="13.5" customHeight="1">
      <c r="A35" s="148"/>
      <c r="B35" s="149"/>
      <c r="C35" s="150"/>
      <c r="D35" s="151" t="s">
        <v>1767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 t="s">
        <v>742</v>
      </c>
      <c r="AE35" s="152"/>
      <c r="AF35" s="152"/>
      <c r="AG35" s="153"/>
    </row>
    <row r="36" ht="13.5" customHeight="1">
      <c r="A36" s="148"/>
      <c r="B36" s="149"/>
      <c r="C36" s="150"/>
      <c r="D36" s="151" t="s">
        <v>1769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 t="s">
        <v>742</v>
      </c>
      <c r="AF36" s="152"/>
      <c r="AG36" s="153"/>
    </row>
    <row r="37" ht="13.5" customHeight="1">
      <c r="A37" s="148"/>
      <c r="B37" s="149"/>
      <c r="C37" s="150"/>
      <c r="D37" s="151" t="s">
        <v>1771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 t="s">
        <v>742</v>
      </c>
      <c r="AG37" s="153"/>
    </row>
    <row r="38" ht="13.5" customHeight="1">
      <c r="A38" s="148"/>
      <c r="B38" s="149"/>
      <c r="C38" s="150"/>
      <c r="D38" s="151" t="s">
        <v>1773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3" t="s">
        <v>742</v>
      </c>
    </row>
    <row r="39" ht="13.5" customHeight="1">
      <c r="A39" s="148"/>
      <c r="B39" s="149" t="s">
        <v>768</v>
      </c>
      <c r="C39" s="150"/>
      <c r="D39" s="151"/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3"/>
    </row>
    <row r="40" ht="13.5" customHeight="1">
      <c r="A40" s="148"/>
      <c r="B40" s="149"/>
      <c r="C40" s="150"/>
      <c r="D40" s="151" t="s">
        <v>1556</v>
      </c>
      <c r="E40" s="145"/>
      <c r="F40" s="152" t="s">
        <v>742</v>
      </c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3"/>
    </row>
    <row r="41" ht="13.5" customHeight="1">
      <c r="A41" s="148"/>
      <c r="B41" s="149"/>
      <c r="C41" s="150"/>
      <c r="D41" s="151" t="s">
        <v>1777</v>
      </c>
      <c r="E41" s="145"/>
      <c r="F41" s="152"/>
      <c r="G41" s="152" t="s">
        <v>742</v>
      </c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3"/>
    </row>
    <row r="42" ht="13.5" customHeight="1">
      <c r="A42" s="148"/>
      <c r="B42" s="149"/>
      <c r="C42" s="150"/>
      <c r="D42" s="151" t="s">
        <v>1095</v>
      </c>
      <c r="E42" s="145"/>
      <c r="F42" s="152"/>
      <c r="G42" s="152"/>
      <c r="H42" s="152" t="s">
        <v>742</v>
      </c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3"/>
    </row>
    <row r="43" ht="13.5" customHeight="1">
      <c r="A43" s="148"/>
      <c r="B43" s="149"/>
      <c r="C43" s="150"/>
      <c r="D43" s="151" t="s">
        <v>793</v>
      </c>
      <c r="E43" s="145"/>
      <c r="F43" s="152"/>
      <c r="G43" s="152"/>
      <c r="H43" s="152"/>
      <c r="I43" s="152" t="s">
        <v>742</v>
      </c>
      <c r="J43" s="152"/>
      <c r="K43" s="152"/>
      <c r="L43" s="152" t="s">
        <v>742</v>
      </c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3"/>
    </row>
    <row r="44" ht="13.5" customHeight="1">
      <c r="A44" s="148"/>
      <c r="B44" s="149"/>
      <c r="C44" s="150"/>
      <c r="D44" s="151" t="s">
        <v>1779</v>
      </c>
      <c r="E44" s="145"/>
      <c r="F44" s="152"/>
      <c r="G44" s="152"/>
      <c r="H44" s="152"/>
      <c r="I44" s="152"/>
      <c r="J44" s="152" t="s">
        <v>742</v>
      </c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3"/>
    </row>
    <row r="45" ht="13.5" customHeight="1">
      <c r="A45" s="148"/>
      <c r="B45" s="149"/>
      <c r="C45" s="150"/>
      <c r="D45" s="151" t="s">
        <v>1781</v>
      </c>
      <c r="E45" s="145"/>
      <c r="F45" s="152"/>
      <c r="G45" s="152"/>
      <c r="H45" s="152"/>
      <c r="I45" s="152"/>
      <c r="J45" s="152"/>
      <c r="K45" s="152" t="s">
        <v>742</v>
      </c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3"/>
    </row>
    <row r="46" ht="13.5" customHeight="1">
      <c r="A46" s="148"/>
      <c r="B46" s="149"/>
      <c r="C46" s="150"/>
      <c r="D46" s="151" t="s">
        <v>1783</v>
      </c>
      <c r="E46" s="145"/>
      <c r="F46" s="152"/>
      <c r="G46" s="152"/>
      <c r="H46" s="152"/>
      <c r="I46" s="152"/>
      <c r="J46" s="152"/>
      <c r="K46" s="152"/>
      <c r="L46" s="152"/>
      <c r="M46" s="152" t="s">
        <v>742</v>
      </c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3"/>
    </row>
    <row r="47" ht="13.5" customHeight="1">
      <c r="A47" s="148"/>
      <c r="B47" s="149"/>
      <c r="C47" s="150"/>
      <c r="D47" s="151" t="s">
        <v>1785</v>
      </c>
      <c r="E47" s="145"/>
      <c r="F47" s="152"/>
      <c r="G47" s="152"/>
      <c r="H47" s="152"/>
      <c r="I47" s="152"/>
      <c r="J47" s="152"/>
      <c r="K47" s="152"/>
      <c r="L47" s="152"/>
      <c r="M47" s="152"/>
      <c r="N47" s="152" t="s">
        <v>742</v>
      </c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3"/>
    </row>
    <row r="48" ht="13.5" customHeight="1">
      <c r="A48" s="148"/>
      <c r="B48" s="149"/>
      <c r="C48" s="150"/>
      <c r="D48" s="151" t="s">
        <v>1787</v>
      </c>
      <c r="E48" s="145"/>
      <c r="F48" s="152"/>
      <c r="G48" s="152"/>
      <c r="H48" s="152"/>
      <c r="I48" s="152"/>
      <c r="J48" s="152"/>
      <c r="K48" s="152"/>
      <c r="L48" s="152"/>
      <c r="M48" s="152"/>
      <c r="N48" s="152"/>
      <c r="O48" s="152" t="s">
        <v>742</v>
      </c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3"/>
    </row>
    <row r="49" ht="13.5" customHeight="1">
      <c r="A49" s="148"/>
      <c r="B49" s="149"/>
      <c r="C49" s="150"/>
      <c r="D49" s="151" t="s">
        <v>1789</v>
      </c>
      <c r="E49" s="145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 t="s">
        <v>742</v>
      </c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3"/>
    </row>
    <row r="50" ht="13.5" customHeight="1">
      <c r="A50" s="148"/>
      <c r="B50" s="149"/>
      <c r="C50" s="150"/>
      <c r="D50" s="151" t="s">
        <v>1791</v>
      </c>
      <c r="E50" s="145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 t="s">
        <v>742</v>
      </c>
      <c r="R50" s="152" t="s">
        <v>742</v>
      </c>
      <c r="S50" s="152" t="s">
        <v>742</v>
      </c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3"/>
    </row>
    <row r="51" ht="13.5" customHeight="1">
      <c r="A51" s="148"/>
      <c r="B51" s="149"/>
      <c r="C51" s="150"/>
      <c r="D51" s="151" t="s">
        <v>1794</v>
      </c>
      <c r="E51" s="145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 t="s">
        <v>742</v>
      </c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3"/>
    </row>
    <row r="52" ht="13.5" customHeight="1">
      <c r="A52" s="148"/>
      <c r="B52" s="149"/>
      <c r="C52" s="150"/>
      <c r="D52" s="151" t="s">
        <v>1796</v>
      </c>
      <c r="E52" s="145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 t="s">
        <v>742</v>
      </c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3"/>
    </row>
    <row r="53" ht="13.5" customHeight="1">
      <c r="A53" s="148"/>
      <c r="B53" s="149"/>
      <c r="C53" s="150"/>
      <c r="D53" s="151" t="s">
        <v>1798</v>
      </c>
      <c r="E53" s="145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 t="s">
        <v>742</v>
      </c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3"/>
    </row>
    <row r="54" ht="13.5" customHeight="1">
      <c r="A54" s="148"/>
      <c r="B54" s="149"/>
      <c r="C54" s="150"/>
      <c r="D54" s="151" t="s">
        <v>1801</v>
      </c>
      <c r="E54" s="145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 t="s">
        <v>742</v>
      </c>
      <c r="X54" s="152"/>
      <c r="Y54" s="152"/>
      <c r="Z54" s="152"/>
      <c r="AA54" s="152"/>
      <c r="AB54" s="152"/>
      <c r="AC54" s="152"/>
      <c r="AD54" s="152"/>
      <c r="AE54" s="152"/>
      <c r="AF54" s="152"/>
      <c r="AG54" s="153"/>
    </row>
    <row r="55" ht="13.5" customHeight="1">
      <c r="A55" s="148"/>
      <c r="B55" s="149"/>
      <c r="C55" s="150"/>
      <c r="D55" s="151" t="s">
        <v>1804</v>
      </c>
      <c r="E55" s="145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 t="s">
        <v>742</v>
      </c>
      <c r="Y55" s="152"/>
      <c r="Z55" s="152"/>
      <c r="AA55" s="152"/>
      <c r="AB55" s="152"/>
      <c r="AC55" s="152"/>
      <c r="AD55" s="152"/>
      <c r="AE55" s="152" t="s">
        <v>742</v>
      </c>
      <c r="AF55" s="152"/>
      <c r="AG55" s="153"/>
    </row>
    <row r="56" ht="13.5" customHeight="1">
      <c r="A56" s="148"/>
      <c r="B56" s="149"/>
      <c r="C56" s="150"/>
      <c r="D56" s="151" t="s">
        <v>1806</v>
      </c>
      <c r="E56" s="145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 t="s">
        <v>742</v>
      </c>
      <c r="Z56" s="152"/>
      <c r="AA56" s="152"/>
      <c r="AB56" s="152"/>
      <c r="AC56" s="152"/>
      <c r="AD56" s="152"/>
      <c r="AE56" s="152"/>
      <c r="AF56" s="152"/>
      <c r="AG56" s="153"/>
    </row>
    <row r="57" ht="13.5" customHeight="1">
      <c r="A57" s="148"/>
      <c r="B57" s="149"/>
      <c r="C57" s="150"/>
      <c r="D57" s="151" t="s">
        <v>1808</v>
      </c>
      <c r="E57" s="145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 t="s">
        <v>742</v>
      </c>
      <c r="AA57" s="152"/>
      <c r="AB57" s="152"/>
      <c r="AC57" s="152"/>
      <c r="AD57" s="152"/>
      <c r="AE57" s="152"/>
      <c r="AF57" s="152"/>
      <c r="AG57" s="153"/>
    </row>
    <row r="58" ht="13.5" customHeight="1">
      <c r="A58" s="148"/>
      <c r="B58" s="149"/>
      <c r="C58" s="150"/>
      <c r="D58" s="151" t="s">
        <v>1811</v>
      </c>
      <c r="E58" s="145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 t="s">
        <v>742</v>
      </c>
      <c r="AB58" s="152"/>
      <c r="AC58" s="152"/>
      <c r="AD58" s="152"/>
      <c r="AE58" s="152"/>
      <c r="AF58" s="152"/>
      <c r="AG58" s="153"/>
    </row>
    <row r="59" ht="13.5" customHeight="1">
      <c r="A59" s="148"/>
      <c r="B59" s="149"/>
      <c r="C59" s="150"/>
      <c r="D59" s="151" t="s">
        <v>1813</v>
      </c>
      <c r="E59" s="145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 t="s">
        <v>742</v>
      </c>
      <c r="AC59" s="152"/>
      <c r="AD59" s="152"/>
      <c r="AE59" s="152"/>
      <c r="AF59" s="152"/>
      <c r="AG59" s="153"/>
    </row>
    <row r="60" ht="13.5" customHeight="1">
      <c r="A60" s="148"/>
      <c r="B60" s="149"/>
      <c r="C60" s="150"/>
      <c r="D60" s="151" t="s">
        <v>1815</v>
      </c>
      <c r="E60" s="145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 t="s">
        <v>742</v>
      </c>
      <c r="AD60" s="152" t="s">
        <v>742</v>
      </c>
      <c r="AE60" s="152"/>
      <c r="AF60" s="152"/>
      <c r="AG60" s="153"/>
    </row>
    <row r="61" ht="13.5" customHeight="1">
      <c r="A61" s="148"/>
      <c r="B61" s="149"/>
      <c r="C61" s="150"/>
      <c r="D61" s="151" t="s">
        <v>348</v>
      </c>
      <c r="E61" s="145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 t="s">
        <v>742</v>
      </c>
      <c r="AG61" s="153" t="s">
        <v>742</v>
      </c>
    </row>
    <row r="62" ht="13.5" customHeight="1">
      <c r="A62" s="148"/>
      <c r="B62" s="154"/>
      <c r="C62" s="155"/>
      <c r="D62" s="156"/>
      <c r="E62" s="157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9"/>
    </row>
    <row r="63" ht="13.5" customHeight="1">
      <c r="A63" s="160" t="s">
        <v>802</v>
      </c>
      <c r="B63" s="161" t="s">
        <v>804</v>
      </c>
      <c r="C63" s="162"/>
      <c r="D63" s="163"/>
      <c r="E63" s="164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7"/>
    </row>
    <row r="64" ht="13.5" customHeight="1">
      <c r="A64" s="165"/>
      <c r="B64" s="166"/>
      <c r="C64" s="167"/>
      <c r="D64" s="168" t="s">
        <v>1816</v>
      </c>
      <c r="E64" s="169"/>
      <c r="F64" s="152" t="s">
        <v>742</v>
      </c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3"/>
    </row>
    <row r="65" ht="13.5" customHeight="1">
      <c r="A65" s="165"/>
      <c r="B65" s="166"/>
      <c r="C65" s="167"/>
      <c r="D65" s="168" t="s">
        <v>1817</v>
      </c>
      <c r="E65" s="169"/>
      <c r="F65" s="152"/>
      <c r="G65" s="152" t="s">
        <v>742</v>
      </c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3"/>
    </row>
    <row r="66" ht="13.5" customHeight="1">
      <c r="A66" s="165"/>
      <c r="B66" s="166"/>
      <c r="C66" s="167"/>
      <c r="D66" s="168" t="s">
        <v>1818</v>
      </c>
      <c r="E66" s="169"/>
      <c r="F66" s="152"/>
      <c r="G66" s="152"/>
      <c r="H66" s="152"/>
      <c r="I66" s="152" t="s">
        <v>742</v>
      </c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3"/>
    </row>
    <row r="67" ht="13.5" customHeight="1">
      <c r="A67" s="165"/>
      <c r="B67" s="166"/>
      <c r="C67" s="167"/>
      <c r="D67" s="168" t="s">
        <v>1819</v>
      </c>
      <c r="E67" s="169"/>
      <c r="F67" s="152"/>
      <c r="G67" s="152"/>
      <c r="H67" s="152"/>
      <c r="I67" s="152"/>
      <c r="J67" s="152" t="s">
        <v>742</v>
      </c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3"/>
    </row>
    <row r="68" ht="13.5" customHeight="1">
      <c r="A68" s="165"/>
      <c r="B68" s="166"/>
      <c r="C68" s="167"/>
      <c r="D68" s="168" t="s">
        <v>1820</v>
      </c>
      <c r="E68" s="169"/>
      <c r="F68" s="152"/>
      <c r="G68" s="152"/>
      <c r="H68" s="152"/>
      <c r="I68" s="152"/>
      <c r="J68" s="152"/>
      <c r="K68" s="152"/>
      <c r="L68" s="152" t="s">
        <v>742</v>
      </c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3"/>
    </row>
    <row r="69" ht="13.5" customHeight="1">
      <c r="A69" s="165"/>
      <c r="B69" s="166"/>
      <c r="C69" s="167"/>
      <c r="D69" s="168" t="s">
        <v>1821</v>
      </c>
      <c r="E69" s="169"/>
      <c r="F69" s="152"/>
      <c r="G69" s="152"/>
      <c r="H69" s="152"/>
      <c r="I69" s="152"/>
      <c r="J69" s="152"/>
      <c r="K69" s="152"/>
      <c r="L69" s="152"/>
      <c r="M69" s="152" t="s">
        <v>742</v>
      </c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3"/>
    </row>
    <row r="70" ht="13.5" customHeight="1">
      <c r="A70" s="165"/>
      <c r="B70" s="166"/>
      <c r="C70" s="167"/>
      <c r="D70" s="168" t="s">
        <v>1822</v>
      </c>
      <c r="E70" s="169"/>
      <c r="F70" s="152"/>
      <c r="G70" s="152"/>
      <c r="H70" s="152"/>
      <c r="I70" s="152"/>
      <c r="J70" s="152"/>
      <c r="K70" s="152"/>
      <c r="L70" s="152"/>
      <c r="M70" s="152" t="s">
        <v>742</v>
      </c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3"/>
    </row>
    <row r="71" ht="13.5" customHeight="1">
      <c r="A71" s="165"/>
      <c r="B71" s="166"/>
      <c r="C71" s="167"/>
      <c r="D71" s="168" t="s">
        <v>1823</v>
      </c>
      <c r="E71" s="169"/>
      <c r="F71" s="152"/>
      <c r="G71" s="152"/>
      <c r="H71" s="152"/>
      <c r="I71" s="152"/>
      <c r="J71" s="152"/>
      <c r="K71" s="152"/>
      <c r="L71" s="152"/>
      <c r="M71" s="152"/>
      <c r="N71" s="152" t="s">
        <v>742</v>
      </c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3"/>
    </row>
    <row r="72" ht="13.5" customHeight="1">
      <c r="A72" s="165"/>
      <c r="B72" s="166"/>
      <c r="C72" s="167"/>
      <c r="D72" s="168" t="s">
        <v>1824</v>
      </c>
      <c r="E72" s="169"/>
      <c r="F72" s="152"/>
      <c r="G72" s="152"/>
      <c r="H72" s="152"/>
      <c r="I72" s="152"/>
      <c r="J72" s="152"/>
      <c r="K72" s="152"/>
      <c r="L72" s="152"/>
      <c r="M72" s="152"/>
      <c r="N72" s="152"/>
      <c r="O72" s="152" t="s">
        <v>742</v>
      </c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3"/>
    </row>
    <row r="73" ht="13.5" customHeight="1">
      <c r="A73" s="165"/>
      <c r="B73" s="166"/>
      <c r="C73" s="167"/>
      <c r="D73" s="168" t="s">
        <v>1825</v>
      </c>
      <c r="E73" s="169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 t="s">
        <v>742</v>
      </c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3"/>
    </row>
    <row r="74" ht="13.5" customHeight="1">
      <c r="A74" s="165"/>
      <c r="B74" s="166"/>
      <c r="C74" s="167"/>
      <c r="D74" s="168" t="s">
        <v>1826</v>
      </c>
      <c r="E74" s="169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 t="s">
        <v>742</v>
      </c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3"/>
    </row>
    <row r="75" ht="13.5" customHeight="1">
      <c r="A75" s="165"/>
      <c r="B75" s="166"/>
      <c r="C75" s="167"/>
      <c r="D75" s="168" t="s">
        <v>1827</v>
      </c>
      <c r="E75" s="169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 t="s">
        <v>742</v>
      </c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3"/>
    </row>
    <row r="76" ht="13.5" customHeight="1">
      <c r="A76" s="165"/>
      <c r="B76" s="166"/>
      <c r="C76" s="167"/>
      <c r="D76" s="168" t="s">
        <v>1828</v>
      </c>
      <c r="E76" s="169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 t="s">
        <v>742</v>
      </c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3"/>
    </row>
    <row r="77" ht="13.5" customHeight="1">
      <c r="A77" s="165"/>
      <c r="B77" s="166"/>
      <c r="C77" s="167"/>
      <c r="D77" s="168" t="s">
        <v>1829</v>
      </c>
      <c r="E77" s="169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 t="s">
        <v>742</v>
      </c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3"/>
    </row>
    <row r="78" ht="13.5" customHeight="1">
      <c r="A78" s="165"/>
      <c r="B78" s="166"/>
      <c r="C78" s="167"/>
      <c r="D78" s="168" t="s">
        <v>1830</v>
      </c>
      <c r="E78" s="169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 t="s">
        <v>742</v>
      </c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3"/>
    </row>
    <row r="79" ht="13.5" customHeight="1">
      <c r="A79" s="165"/>
      <c r="B79" s="166"/>
      <c r="C79" s="167"/>
      <c r="D79" s="168" t="s">
        <v>1831</v>
      </c>
      <c r="E79" s="169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 t="s">
        <v>742</v>
      </c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3"/>
    </row>
    <row r="80" ht="13.5" customHeight="1">
      <c r="A80" s="165"/>
      <c r="B80" s="166"/>
      <c r="C80" s="167"/>
      <c r="D80" s="168" t="s">
        <v>1832</v>
      </c>
      <c r="E80" s="169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 t="s">
        <v>742</v>
      </c>
      <c r="X80" s="152"/>
      <c r="Y80" s="152" t="s">
        <v>742</v>
      </c>
      <c r="Z80" s="152"/>
      <c r="AA80" s="152" t="s">
        <v>742</v>
      </c>
      <c r="AB80" s="152"/>
      <c r="AC80" s="152"/>
      <c r="AD80" s="152"/>
      <c r="AE80" s="152"/>
      <c r="AF80" s="152"/>
      <c r="AG80" s="153"/>
    </row>
    <row r="81" ht="13.5" customHeight="1">
      <c r="A81" s="165"/>
      <c r="B81" s="166"/>
      <c r="C81" s="167"/>
      <c r="D81" s="168" t="s">
        <v>1833</v>
      </c>
      <c r="E81" s="169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 t="s">
        <v>742</v>
      </c>
      <c r="Y81" s="152"/>
      <c r="Z81" s="152"/>
      <c r="AA81" s="152"/>
      <c r="AB81" s="152"/>
      <c r="AC81" s="152"/>
      <c r="AD81" s="152"/>
      <c r="AE81" s="152"/>
      <c r="AF81" s="152"/>
      <c r="AG81" s="153"/>
    </row>
    <row r="82" ht="13.5" customHeight="1">
      <c r="A82" s="165"/>
      <c r="B82" s="166"/>
      <c r="C82" s="167"/>
      <c r="D82" s="168" t="s">
        <v>1834</v>
      </c>
      <c r="E82" s="169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 t="s">
        <v>742</v>
      </c>
      <c r="AA82" s="152"/>
      <c r="AB82" s="152"/>
      <c r="AC82" s="152"/>
      <c r="AD82" s="152"/>
      <c r="AE82" s="152"/>
      <c r="AF82" s="152"/>
      <c r="AG82" s="153"/>
    </row>
    <row r="83" ht="13.5" customHeight="1">
      <c r="A83" s="165"/>
      <c r="B83" s="166"/>
      <c r="C83" s="167"/>
      <c r="D83" s="168" t="s">
        <v>1835</v>
      </c>
      <c r="E83" s="169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 t="s">
        <v>742</v>
      </c>
      <c r="AC83" s="152"/>
      <c r="AD83" s="152"/>
      <c r="AE83" s="152"/>
      <c r="AF83" s="152"/>
      <c r="AG83" s="153"/>
    </row>
    <row r="84" ht="13.5" customHeight="1">
      <c r="A84" s="165"/>
      <c r="B84" s="166"/>
      <c r="C84" s="167"/>
      <c r="D84" s="168" t="s">
        <v>1836</v>
      </c>
      <c r="E84" s="169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 t="s">
        <v>742</v>
      </c>
      <c r="AD84" s="152"/>
      <c r="AE84" s="152"/>
      <c r="AF84" s="152"/>
      <c r="AG84" s="153"/>
    </row>
    <row r="85" ht="13.5" customHeight="1">
      <c r="A85" s="165"/>
      <c r="B85" s="166"/>
      <c r="C85" s="167"/>
      <c r="D85" s="168" t="s">
        <v>1837</v>
      </c>
      <c r="E85" s="169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 t="s">
        <v>742</v>
      </c>
      <c r="AE85" s="152"/>
      <c r="AF85" s="152"/>
      <c r="AG85" s="153"/>
    </row>
    <row r="86" ht="13.5" customHeight="1">
      <c r="A86" s="165"/>
      <c r="B86" s="166"/>
      <c r="C86" s="167"/>
      <c r="D86" s="168" t="s">
        <v>1839</v>
      </c>
      <c r="E86" s="169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 t="s">
        <v>742</v>
      </c>
      <c r="AF86" s="152"/>
      <c r="AG86" s="153"/>
    </row>
    <row r="87" ht="13.5" customHeight="1">
      <c r="A87" s="165"/>
      <c r="B87" s="166"/>
      <c r="C87" s="167"/>
      <c r="D87" s="168" t="s">
        <v>1840</v>
      </c>
      <c r="E87" s="169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 t="s">
        <v>742</v>
      </c>
      <c r="AG87" s="153"/>
    </row>
    <row r="88" ht="13.5" customHeight="1">
      <c r="A88" s="165"/>
      <c r="B88" s="166"/>
      <c r="C88" s="167"/>
      <c r="D88" s="168" t="s">
        <v>1841</v>
      </c>
      <c r="E88" s="169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3" t="s">
        <v>742</v>
      </c>
    </row>
    <row r="89" ht="13.5" customHeight="1">
      <c r="A89" s="165"/>
      <c r="B89" s="166" t="s">
        <v>825</v>
      </c>
      <c r="C89" s="167"/>
      <c r="D89" s="168"/>
      <c r="E89" s="169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3"/>
    </row>
    <row r="90" ht="13.5" customHeight="1">
      <c r="A90" s="165"/>
      <c r="B90" s="166"/>
      <c r="C90" s="167"/>
      <c r="D90" s="168" t="s">
        <v>1842</v>
      </c>
      <c r="E90" s="169"/>
      <c r="F90" s="152"/>
      <c r="G90" s="152"/>
      <c r="H90" s="152" t="s">
        <v>742</v>
      </c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3"/>
    </row>
    <row r="91" ht="13.5" customHeight="1">
      <c r="A91" s="165"/>
      <c r="B91" s="166"/>
      <c r="C91" s="167"/>
      <c r="D91" s="168" t="s">
        <v>1843</v>
      </c>
      <c r="E91" s="169"/>
      <c r="F91" s="152"/>
      <c r="G91" s="152"/>
      <c r="H91" s="152"/>
      <c r="I91" s="152"/>
      <c r="J91" s="152"/>
      <c r="K91" s="152" t="s">
        <v>742</v>
      </c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3"/>
    </row>
    <row r="92" ht="13.5" customHeight="1">
      <c r="A92" s="165"/>
      <c r="B92" s="166" t="s">
        <v>854</v>
      </c>
      <c r="C92" s="167"/>
      <c r="D92" s="168"/>
      <c r="E92" s="169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3"/>
    </row>
    <row r="93" ht="13.5" customHeight="1">
      <c r="A93" s="165"/>
      <c r="B93" s="166"/>
      <c r="C93" s="167"/>
      <c r="D93" s="168" t="s">
        <v>1844</v>
      </c>
      <c r="E93" s="169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 t="s">
        <v>742</v>
      </c>
      <c r="AF93" s="152"/>
      <c r="AG93" s="153"/>
    </row>
    <row r="94" ht="13.5" customHeight="1">
      <c r="A94" s="165"/>
      <c r="B94" s="166"/>
      <c r="C94" s="167"/>
      <c r="D94" s="168" t="s">
        <v>1845</v>
      </c>
      <c r="E94" s="169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3" t="s">
        <v>742</v>
      </c>
    </row>
    <row r="95" ht="13.5" customHeight="1">
      <c r="A95" s="165"/>
      <c r="B95" s="170"/>
      <c r="C95" s="171"/>
      <c r="D95" s="172"/>
      <c r="E95" s="173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  <c r="AG95" s="175"/>
    </row>
    <row r="96" ht="13.5" customHeight="1">
      <c r="A96" s="160" t="s">
        <v>865</v>
      </c>
      <c r="B96" s="176" t="s">
        <v>866</v>
      </c>
      <c r="C96" s="177"/>
      <c r="D96" s="178"/>
      <c r="E96" s="179"/>
      <c r="F96" s="180" t="s">
        <v>54</v>
      </c>
      <c r="G96" s="180" t="s">
        <v>57</v>
      </c>
      <c r="H96" s="180" t="s">
        <v>55</v>
      </c>
      <c r="I96" s="180" t="s">
        <v>54</v>
      </c>
      <c r="J96" s="180" t="s">
        <v>54</v>
      </c>
      <c r="K96" s="180" t="s">
        <v>55</v>
      </c>
      <c r="L96" s="180" t="s">
        <v>54</v>
      </c>
      <c r="M96" s="180" t="s">
        <v>54</v>
      </c>
      <c r="N96" s="180" t="s">
        <v>54</v>
      </c>
      <c r="O96" s="180" t="s">
        <v>57</v>
      </c>
      <c r="P96" s="180" t="s">
        <v>55</v>
      </c>
      <c r="Q96" s="180" t="s">
        <v>57</v>
      </c>
      <c r="R96" s="180" t="s">
        <v>57</v>
      </c>
      <c r="S96" s="180" t="s">
        <v>54</v>
      </c>
      <c r="T96" s="180" t="s">
        <v>54</v>
      </c>
      <c r="U96" s="180" t="s">
        <v>57</v>
      </c>
      <c r="V96" s="180" t="s">
        <v>57</v>
      </c>
      <c r="W96" s="180" t="s">
        <v>57</v>
      </c>
      <c r="X96" s="180" t="s">
        <v>54</v>
      </c>
      <c r="Y96" s="180" t="s">
        <v>57</v>
      </c>
      <c r="Z96" s="180" t="s">
        <v>54</v>
      </c>
      <c r="AA96" s="180" t="s">
        <v>57</v>
      </c>
      <c r="AB96" s="180" t="s">
        <v>54</v>
      </c>
      <c r="AC96" s="180" t="s">
        <v>54</v>
      </c>
      <c r="AD96" s="180" t="s">
        <v>57</v>
      </c>
      <c r="AE96" s="180" t="s">
        <v>55</v>
      </c>
      <c r="AF96" s="180" t="s">
        <v>54</v>
      </c>
      <c r="AG96" s="181" t="s">
        <v>55</v>
      </c>
    </row>
    <row r="97" ht="13.5" customHeight="1">
      <c r="A97" s="165"/>
      <c r="B97" s="182" t="s">
        <v>867</v>
      </c>
      <c r="C97" s="27"/>
      <c r="D97" s="25"/>
      <c r="E97" s="183"/>
      <c r="F97" s="184" t="s">
        <v>868</v>
      </c>
      <c r="G97" s="184" t="s">
        <v>868</v>
      </c>
      <c r="H97" s="184" t="s">
        <v>868</v>
      </c>
      <c r="I97" s="184" t="s">
        <v>868</v>
      </c>
      <c r="J97" s="184" t="s">
        <v>868</v>
      </c>
      <c r="K97" s="184" t="s">
        <v>868</v>
      </c>
      <c r="L97" s="184" t="s">
        <v>868</v>
      </c>
      <c r="M97" s="184" t="s">
        <v>868</v>
      </c>
      <c r="N97" s="184" t="s">
        <v>868</v>
      </c>
      <c r="O97" s="184" t="s">
        <v>868</v>
      </c>
      <c r="P97" s="184" t="s">
        <v>868</v>
      </c>
      <c r="Q97" s="184" t="s">
        <v>868</v>
      </c>
      <c r="R97" s="184" t="s">
        <v>868</v>
      </c>
      <c r="S97" s="184" t="s">
        <v>868</v>
      </c>
      <c r="T97" s="184" t="s">
        <v>868</v>
      </c>
      <c r="U97" s="184" t="s">
        <v>868</v>
      </c>
      <c r="V97" s="184" t="s">
        <v>868</v>
      </c>
      <c r="W97" s="184" t="s">
        <v>868</v>
      </c>
      <c r="X97" s="184" t="s">
        <v>868</v>
      </c>
      <c r="Y97" s="184" t="s">
        <v>868</v>
      </c>
      <c r="Z97" s="184" t="s">
        <v>868</v>
      </c>
      <c r="AA97" s="184" t="s">
        <v>868</v>
      </c>
      <c r="AB97" s="184" t="s">
        <v>868</v>
      </c>
      <c r="AC97" s="184" t="s">
        <v>868</v>
      </c>
      <c r="AD97" s="184" t="s">
        <v>868</v>
      </c>
      <c r="AE97" s="184" t="s">
        <v>868</v>
      </c>
      <c r="AF97" s="184" t="s">
        <v>868</v>
      </c>
      <c r="AG97" s="185" t="s">
        <v>868</v>
      </c>
    </row>
    <row r="98" ht="99.75" customHeight="1">
      <c r="A98" s="165"/>
      <c r="B98" s="186" t="s">
        <v>869</v>
      </c>
      <c r="C98" s="27"/>
      <c r="D98" s="25"/>
      <c r="E98" s="169"/>
      <c r="F98" s="187">
        <v>46272.0</v>
      </c>
      <c r="G98" s="187">
        <v>46272.0</v>
      </c>
      <c r="H98" s="187">
        <v>46272.0</v>
      </c>
      <c r="I98" s="187">
        <v>46272.0</v>
      </c>
      <c r="J98" s="187">
        <v>46272.0</v>
      </c>
      <c r="K98" s="187">
        <v>46272.0</v>
      </c>
      <c r="L98" s="187">
        <v>46272.0</v>
      </c>
      <c r="M98" s="187">
        <v>46272.0</v>
      </c>
      <c r="N98" s="187">
        <v>46272.0</v>
      </c>
      <c r="O98" s="187">
        <v>46272.0</v>
      </c>
      <c r="P98" s="187">
        <v>46272.0</v>
      </c>
      <c r="Q98" s="187">
        <v>46272.0</v>
      </c>
      <c r="R98" s="187">
        <v>46272.0</v>
      </c>
      <c r="S98" s="187">
        <v>46272.0</v>
      </c>
      <c r="T98" s="187">
        <v>46272.0</v>
      </c>
      <c r="U98" s="187">
        <v>46272.0</v>
      </c>
      <c r="V98" s="187">
        <v>46272.0</v>
      </c>
      <c r="W98" s="187">
        <v>46272.0</v>
      </c>
      <c r="X98" s="187">
        <v>46272.0</v>
      </c>
      <c r="Y98" s="187">
        <v>46272.0</v>
      </c>
      <c r="Z98" s="187">
        <v>46272.0</v>
      </c>
      <c r="AA98" s="187">
        <v>46272.0</v>
      </c>
      <c r="AB98" s="187">
        <v>46272.0</v>
      </c>
      <c r="AC98" s="187">
        <v>46272.0</v>
      </c>
      <c r="AD98" s="187">
        <v>46272.0</v>
      </c>
      <c r="AE98" s="187">
        <v>46272.0</v>
      </c>
      <c r="AF98" s="187">
        <v>46272.0</v>
      </c>
      <c r="AG98" s="189">
        <v>46272.0</v>
      </c>
    </row>
    <row r="99" ht="72.75" customHeight="1">
      <c r="A99" s="190"/>
      <c r="B99" s="191" t="s">
        <v>870</v>
      </c>
      <c r="C99" s="192"/>
      <c r="D99" s="193"/>
      <c r="E99" s="194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6"/>
    </row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AG4"/>
    <mergeCell ref="C5:AG5"/>
    <mergeCell ref="A2:B2"/>
    <mergeCell ref="C2:E2"/>
    <mergeCell ref="F2:K2"/>
    <mergeCell ref="L2:AG2"/>
    <mergeCell ref="C3:E3"/>
    <mergeCell ref="F3:K3"/>
    <mergeCell ref="L3:AG3"/>
    <mergeCell ref="F6:K6"/>
    <mergeCell ref="L6:N6"/>
    <mergeCell ref="O6:AG6"/>
    <mergeCell ref="A7:B7"/>
    <mergeCell ref="C7:E7"/>
    <mergeCell ref="F7:K7"/>
    <mergeCell ref="O7:AG7"/>
    <mergeCell ref="B96:D96"/>
    <mergeCell ref="B97:D97"/>
    <mergeCell ref="B98:D98"/>
    <mergeCell ref="B99:D99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6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3.5" customHeight="1">
      <c r="A2" s="111" t="s">
        <v>707</v>
      </c>
      <c r="B2" s="112"/>
      <c r="C2" s="113" t="s">
        <v>352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323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3.5" customHeight="1">
      <c r="A4" s="117" t="s">
        <v>711</v>
      </c>
      <c r="B4" s="27"/>
      <c r="C4" s="122">
        <v>227.0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3.5" customHeight="1">
      <c r="A5" s="117" t="s">
        <v>713</v>
      </c>
      <c r="B5" s="27"/>
      <c r="C5" s="124" t="s">
        <v>1690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3.5" customHeight="1">
      <c r="A7" s="129">
        <f>COUNTIF(F69:Z69,"P")</f>
        <v>21</v>
      </c>
      <c r="B7" s="130"/>
      <c r="C7" s="131">
        <f>COUNTIF(F69:Z69,"F")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COUNTIF(F68:Z68,"N")</f>
        <v>14</v>
      </c>
      <c r="M7" s="132">
        <f>COUNTIF(F68:Z68,"A")</f>
        <v>5</v>
      </c>
      <c r="N7" s="132">
        <f>COUNTIF(F68:Z68,"B")</f>
        <v>2</v>
      </c>
      <c r="O7" s="133">
        <f>COUNTA(F9:Z9)</f>
        <v>21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40" t="s">
        <v>736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7"/>
    </row>
    <row r="11" ht="13.5" customHeight="1">
      <c r="A11" s="148"/>
      <c r="B11" s="149"/>
      <c r="C11" s="150"/>
      <c r="D11" s="151" t="s">
        <v>1711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3"/>
    </row>
    <row r="12" ht="13.5" customHeight="1">
      <c r="A12" s="148"/>
      <c r="B12" s="149"/>
      <c r="C12" s="150"/>
      <c r="D12" s="151" t="s">
        <v>1715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3"/>
    </row>
    <row r="13" ht="13.5" customHeight="1">
      <c r="A13" s="148"/>
      <c r="B13" s="149"/>
      <c r="C13" s="150"/>
      <c r="D13" s="151" t="s">
        <v>1717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3"/>
    </row>
    <row r="14" ht="13.5" customHeight="1">
      <c r="A14" s="148"/>
      <c r="B14" s="149"/>
      <c r="C14" s="150"/>
      <c r="D14" s="151" t="s">
        <v>1719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3"/>
    </row>
    <row r="15" ht="13.5" customHeight="1">
      <c r="A15" s="148"/>
      <c r="B15" s="149"/>
      <c r="C15" s="150"/>
      <c r="D15" s="151" t="s">
        <v>1722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3"/>
    </row>
    <row r="16" ht="13.5" customHeight="1">
      <c r="A16" s="148"/>
      <c r="B16" s="149"/>
      <c r="C16" s="150"/>
      <c r="D16" s="151" t="s">
        <v>1724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3"/>
    </row>
    <row r="17" ht="13.5" customHeight="1">
      <c r="A17" s="148"/>
      <c r="B17" s="149"/>
      <c r="C17" s="150"/>
      <c r="D17" s="151" t="s">
        <v>1727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3"/>
    </row>
    <row r="18" ht="13.5" customHeight="1">
      <c r="A18" s="148"/>
      <c r="B18" s="149"/>
      <c r="C18" s="150"/>
      <c r="D18" s="151" t="s">
        <v>1729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3"/>
    </row>
    <row r="19" ht="13.5" customHeight="1">
      <c r="A19" s="148"/>
      <c r="B19" s="149"/>
      <c r="C19" s="150"/>
      <c r="D19" s="151" t="s">
        <v>1732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3"/>
    </row>
    <row r="20" ht="13.5" customHeight="1">
      <c r="A20" s="148"/>
      <c r="B20" s="149"/>
      <c r="C20" s="150"/>
      <c r="D20" s="151" t="s">
        <v>1734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 t="s">
        <v>742</v>
      </c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3"/>
    </row>
    <row r="21" ht="13.5" customHeight="1">
      <c r="A21" s="148"/>
      <c r="B21" s="149"/>
      <c r="C21" s="150"/>
      <c r="D21" s="151" t="s">
        <v>1455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 t="s">
        <v>742</v>
      </c>
      <c r="Q21" s="152"/>
      <c r="R21" s="152"/>
      <c r="S21" s="152"/>
      <c r="T21" s="152"/>
      <c r="U21" s="152"/>
      <c r="V21" s="152"/>
      <c r="W21" s="152"/>
      <c r="X21" s="152"/>
      <c r="Y21" s="152" t="s">
        <v>742</v>
      </c>
      <c r="Z21" s="153" t="s">
        <v>742</v>
      </c>
    </row>
    <row r="22" ht="13.5" customHeight="1">
      <c r="A22" s="148"/>
      <c r="B22" s="149"/>
      <c r="C22" s="150"/>
      <c r="D22" s="151" t="s">
        <v>1365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 t="s">
        <v>742</v>
      </c>
      <c r="R22" s="152"/>
      <c r="S22" s="152"/>
      <c r="T22" s="152"/>
      <c r="U22" s="152"/>
      <c r="V22" s="152"/>
      <c r="W22" s="152"/>
      <c r="X22" s="152"/>
      <c r="Y22" s="152"/>
      <c r="Z22" s="153"/>
    </row>
    <row r="23" ht="13.5" customHeight="1">
      <c r="A23" s="148"/>
      <c r="B23" s="149"/>
      <c r="C23" s="150"/>
      <c r="D23" s="151" t="s">
        <v>1741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 t="s">
        <v>742</v>
      </c>
      <c r="S23" s="152"/>
      <c r="T23" s="152"/>
      <c r="U23" s="152"/>
      <c r="V23" s="152"/>
      <c r="W23" s="152"/>
      <c r="X23" s="152"/>
      <c r="Y23" s="152"/>
      <c r="Z23" s="153"/>
    </row>
    <row r="24" ht="13.5" customHeight="1">
      <c r="A24" s="148"/>
      <c r="B24" s="149"/>
      <c r="C24" s="150"/>
      <c r="D24" s="151" t="s">
        <v>1744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 t="s">
        <v>742</v>
      </c>
      <c r="T24" s="152"/>
      <c r="U24" s="152"/>
      <c r="V24" s="152"/>
      <c r="W24" s="152"/>
      <c r="X24" s="152"/>
      <c r="Y24" s="152"/>
      <c r="Z24" s="153"/>
    </row>
    <row r="25" ht="13.5" customHeight="1">
      <c r="A25" s="148"/>
      <c r="B25" s="149"/>
      <c r="C25" s="150"/>
      <c r="D25" s="151" t="s">
        <v>1745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 t="s">
        <v>742</v>
      </c>
      <c r="U25" s="152"/>
      <c r="V25" s="152" t="s">
        <v>742</v>
      </c>
      <c r="W25" s="152"/>
      <c r="X25" s="152"/>
      <c r="Y25" s="152"/>
      <c r="Z25" s="153"/>
    </row>
    <row r="26" ht="13.5" customHeight="1">
      <c r="A26" s="148"/>
      <c r="B26" s="149"/>
      <c r="C26" s="150"/>
      <c r="D26" s="151" t="s">
        <v>1748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 t="s">
        <v>742</v>
      </c>
      <c r="V26" s="152"/>
      <c r="W26" s="152"/>
      <c r="X26" s="152"/>
      <c r="Y26" s="152"/>
      <c r="Z26" s="153"/>
    </row>
    <row r="27" ht="13.5" customHeight="1">
      <c r="A27" s="148"/>
      <c r="B27" s="149"/>
      <c r="C27" s="150"/>
      <c r="D27" s="151" t="s">
        <v>1751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 t="s">
        <v>742</v>
      </c>
      <c r="X27" s="152"/>
      <c r="Y27" s="152"/>
      <c r="Z27" s="153"/>
    </row>
    <row r="28" ht="13.5" customHeight="1">
      <c r="A28" s="148"/>
      <c r="B28" s="149"/>
      <c r="C28" s="150"/>
      <c r="D28" s="151" t="s">
        <v>1753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 t="s">
        <v>742</v>
      </c>
      <c r="Y28" s="152"/>
      <c r="Z28" s="153"/>
    </row>
    <row r="29" ht="13.5" customHeight="1">
      <c r="A29" s="148"/>
      <c r="B29" s="149" t="s">
        <v>768</v>
      </c>
      <c r="C29" s="150"/>
      <c r="D29" s="151"/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3"/>
    </row>
    <row r="30" ht="13.5" customHeight="1">
      <c r="A30" s="148"/>
      <c r="B30" s="149"/>
      <c r="C30" s="150"/>
      <c r="D30" s="151" t="s">
        <v>1756</v>
      </c>
      <c r="E30" s="145"/>
      <c r="F30" s="152" t="s">
        <v>742</v>
      </c>
      <c r="G30" s="152"/>
      <c r="H30" s="152" t="s">
        <v>742</v>
      </c>
      <c r="I30" s="152"/>
      <c r="J30" s="152" t="s">
        <v>742</v>
      </c>
      <c r="K30" s="152" t="s">
        <v>742</v>
      </c>
      <c r="L30" s="152" t="s">
        <v>742</v>
      </c>
      <c r="M30" s="152" t="s">
        <v>742</v>
      </c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3"/>
    </row>
    <row r="31" ht="13.5" customHeight="1">
      <c r="A31" s="148"/>
      <c r="B31" s="149"/>
      <c r="C31" s="150"/>
      <c r="D31" s="151" t="s">
        <v>1758</v>
      </c>
      <c r="E31" s="145"/>
      <c r="F31" s="152"/>
      <c r="G31" s="152" t="s">
        <v>742</v>
      </c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3"/>
    </row>
    <row r="32" ht="13.5" customHeight="1">
      <c r="A32" s="148"/>
      <c r="B32" s="149"/>
      <c r="C32" s="150"/>
      <c r="D32" s="151" t="s">
        <v>1760</v>
      </c>
      <c r="E32" s="145"/>
      <c r="F32" s="152"/>
      <c r="G32" s="152"/>
      <c r="H32" s="152"/>
      <c r="I32" s="152" t="s">
        <v>742</v>
      </c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3"/>
    </row>
    <row r="33" ht="13.5" customHeight="1">
      <c r="A33" s="148"/>
      <c r="B33" s="149"/>
      <c r="C33" s="150"/>
      <c r="D33" s="151" t="s">
        <v>1763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 t="s">
        <v>742</v>
      </c>
      <c r="O33" s="152" t="s">
        <v>742</v>
      </c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3"/>
    </row>
    <row r="34" ht="13.5" customHeight="1">
      <c r="A34" s="148"/>
      <c r="B34" s="149"/>
      <c r="C34" s="150"/>
      <c r="D34" s="151" t="s">
        <v>1764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 t="s">
        <v>742</v>
      </c>
      <c r="Q34" s="152"/>
      <c r="R34" s="152"/>
      <c r="S34" s="152"/>
      <c r="T34" s="152"/>
      <c r="U34" s="152"/>
      <c r="V34" s="152"/>
      <c r="W34" s="152"/>
      <c r="X34" s="152"/>
      <c r="Y34" s="152"/>
      <c r="Z34" s="153"/>
    </row>
    <row r="35" ht="13.5" customHeight="1">
      <c r="A35" s="148"/>
      <c r="B35" s="149"/>
      <c r="C35" s="150"/>
      <c r="D35" s="151" t="s">
        <v>1766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 t="s">
        <v>742</v>
      </c>
      <c r="R35" s="152"/>
      <c r="S35" s="152"/>
      <c r="T35" s="152"/>
      <c r="U35" s="152"/>
      <c r="V35" s="152"/>
      <c r="W35" s="152"/>
      <c r="X35" s="152"/>
      <c r="Y35" s="152"/>
      <c r="Z35" s="153"/>
    </row>
    <row r="36" ht="13.5" customHeight="1">
      <c r="A36" s="148"/>
      <c r="B36" s="149"/>
      <c r="C36" s="150"/>
      <c r="D36" s="151" t="s">
        <v>1768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 t="s">
        <v>742</v>
      </c>
      <c r="S36" s="152"/>
      <c r="T36" s="152"/>
      <c r="U36" s="152"/>
      <c r="V36" s="152"/>
      <c r="W36" s="152"/>
      <c r="X36" s="152"/>
      <c r="Y36" s="152"/>
      <c r="Z36" s="153"/>
    </row>
    <row r="37" ht="13.5" customHeight="1">
      <c r="A37" s="148"/>
      <c r="B37" s="149"/>
      <c r="C37" s="150"/>
      <c r="D37" s="151" t="s">
        <v>1770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 t="s">
        <v>742</v>
      </c>
      <c r="T37" s="152" t="s">
        <v>742</v>
      </c>
      <c r="U37" s="152" t="s">
        <v>742</v>
      </c>
      <c r="V37" s="152" t="s">
        <v>742</v>
      </c>
      <c r="W37" s="152"/>
      <c r="X37" s="152"/>
      <c r="Y37" s="152"/>
      <c r="Z37" s="153"/>
    </row>
    <row r="38" ht="13.5" customHeight="1">
      <c r="A38" s="148"/>
      <c r="B38" s="149"/>
      <c r="C38" s="150"/>
      <c r="D38" s="151" t="s">
        <v>1772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 t="s">
        <v>742</v>
      </c>
      <c r="X38" s="152"/>
      <c r="Y38" s="152"/>
      <c r="Z38" s="153"/>
    </row>
    <row r="39" ht="13.5" customHeight="1">
      <c r="A39" s="148"/>
      <c r="B39" s="149"/>
      <c r="C39" s="150"/>
      <c r="D39" s="151" t="s">
        <v>1774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 t="s">
        <v>742</v>
      </c>
      <c r="Y39" s="152"/>
      <c r="Z39" s="153"/>
    </row>
    <row r="40" ht="13.5" customHeight="1">
      <c r="A40" s="148"/>
      <c r="B40" s="149"/>
      <c r="C40" s="150"/>
      <c r="D40" s="151" t="s">
        <v>1775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 t="s">
        <v>742</v>
      </c>
      <c r="Z40" s="153"/>
    </row>
    <row r="41" ht="13.5" customHeight="1">
      <c r="A41" s="148"/>
      <c r="B41" s="149"/>
      <c r="C41" s="150"/>
      <c r="D41" s="151" t="s">
        <v>1776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3" t="s">
        <v>742</v>
      </c>
    </row>
    <row r="42" ht="13.5" customHeight="1">
      <c r="A42" s="148"/>
      <c r="B42" s="154"/>
      <c r="C42" s="155"/>
      <c r="D42" s="156"/>
      <c r="E42" s="157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9"/>
    </row>
    <row r="43" ht="13.5" customHeight="1">
      <c r="A43" s="160" t="s">
        <v>802</v>
      </c>
      <c r="B43" s="161" t="s">
        <v>804</v>
      </c>
      <c r="C43" s="162"/>
      <c r="D43" s="163"/>
      <c r="E43" s="164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7"/>
    </row>
    <row r="44" ht="13.5" customHeight="1">
      <c r="A44" s="165"/>
      <c r="B44" s="166"/>
      <c r="C44" s="167"/>
      <c r="D44" s="168" t="s">
        <v>1778</v>
      </c>
      <c r="E44" s="169"/>
      <c r="F44" s="152" t="s">
        <v>742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3"/>
    </row>
    <row r="45" ht="13.5" customHeight="1">
      <c r="A45" s="165"/>
      <c r="B45" s="166"/>
      <c r="C45" s="167"/>
      <c r="D45" s="168" t="s">
        <v>1780</v>
      </c>
      <c r="E45" s="169"/>
      <c r="F45" s="152"/>
      <c r="G45" s="152" t="s">
        <v>742</v>
      </c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3"/>
    </row>
    <row r="46" ht="13.5" customHeight="1">
      <c r="A46" s="165"/>
      <c r="B46" s="166"/>
      <c r="C46" s="167"/>
      <c r="D46" s="168" t="s">
        <v>1782</v>
      </c>
      <c r="E46" s="169"/>
      <c r="F46" s="152"/>
      <c r="G46" s="152"/>
      <c r="H46" s="152" t="s">
        <v>742</v>
      </c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3"/>
    </row>
    <row r="47" ht="13.5" customHeight="1">
      <c r="A47" s="165"/>
      <c r="B47" s="166"/>
      <c r="C47" s="167"/>
      <c r="D47" s="168" t="s">
        <v>1784</v>
      </c>
      <c r="E47" s="169"/>
      <c r="F47" s="152"/>
      <c r="G47" s="152"/>
      <c r="H47" s="152"/>
      <c r="I47" s="152" t="s">
        <v>742</v>
      </c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3"/>
    </row>
    <row r="48" ht="13.5" customHeight="1">
      <c r="A48" s="165"/>
      <c r="B48" s="166"/>
      <c r="C48" s="167"/>
      <c r="D48" s="168" t="s">
        <v>1786</v>
      </c>
      <c r="E48" s="169"/>
      <c r="F48" s="152"/>
      <c r="G48" s="152"/>
      <c r="H48" s="152"/>
      <c r="I48" s="152"/>
      <c r="J48" s="152" t="s">
        <v>742</v>
      </c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3"/>
    </row>
    <row r="49" ht="13.5" customHeight="1">
      <c r="A49" s="165"/>
      <c r="B49" s="166"/>
      <c r="C49" s="167"/>
      <c r="D49" s="168" t="s">
        <v>1788</v>
      </c>
      <c r="E49" s="169"/>
      <c r="F49" s="152"/>
      <c r="G49" s="152"/>
      <c r="H49" s="152"/>
      <c r="I49" s="152"/>
      <c r="J49" s="152"/>
      <c r="K49" s="152" t="s">
        <v>742</v>
      </c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3"/>
    </row>
    <row r="50" ht="13.5" customHeight="1">
      <c r="A50" s="165"/>
      <c r="B50" s="166"/>
      <c r="C50" s="167"/>
      <c r="D50" s="168" t="s">
        <v>1790</v>
      </c>
      <c r="E50" s="169"/>
      <c r="F50" s="152"/>
      <c r="G50" s="152"/>
      <c r="H50" s="152"/>
      <c r="I50" s="152"/>
      <c r="J50" s="152"/>
      <c r="K50" s="152"/>
      <c r="L50" s="152" t="s">
        <v>742</v>
      </c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3"/>
    </row>
    <row r="51" ht="13.5" customHeight="1">
      <c r="A51" s="165"/>
      <c r="B51" s="166"/>
      <c r="C51" s="167"/>
      <c r="D51" s="168" t="s">
        <v>1792</v>
      </c>
      <c r="E51" s="169"/>
      <c r="F51" s="152"/>
      <c r="G51" s="152"/>
      <c r="H51" s="152"/>
      <c r="I51" s="152"/>
      <c r="J51" s="152"/>
      <c r="K51" s="152"/>
      <c r="L51" s="152"/>
      <c r="M51" s="152" t="s">
        <v>742</v>
      </c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3"/>
    </row>
    <row r="52" ht="13.5" customHeight="1">
      <c r="A52" s="165"/>
      <c r="B52" s="166"/>
      <c r="C52" s="167"/>
      <c r="D52" s="168" t="s">
        <v>1793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 t="s">
        <v>742</v>
      </c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3"/>
    </row>
    <row r="53" ht="13.5" customHeight="1">
      <c r="A53" s="165"/>
      <c r="B53" s="166"/>
      <c r="C53" s="167"/>
      <c r="D53" s="168" t="s">
        <v>1795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 t="s">
        <v>742</v>
      </c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3"/>
    </row>
    <row r="54" ht="13.5" customHeight="1">
      <c r="A54" s="165"/>
      <c r="B54" s="166"/>
      <c r="C54" s="167"/>
      <c r="D54" s="168" t="s">
        <v>1797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 t="s">
        <v>742</v>
      </c>
      <c r="S54" s="152"/>
      <c r="T54" s="152"/>
      <c r="U54" s="152"/>
      <c r="V54" s="152"/>
      <c r="W54" s="152"/>
      <c r="X54" s="152"/>
      <c r="Y54" s="152"/>
      <c r="Z54" s="153"/>
    </row>
    <row r="55" ht="13.5" customHeight="1">
      <c r="A55" s="165"/>
      <c r="B55" s="166"/>
      <c r="C55" s="167"/>
      <c r="D55" s="168" t="s">
        <v>1799</v>
      </c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 t="s">
        <v>742</v>
      </c>
      <c r="T55" s="152"/>
      <c r="U55" s="152"/>
      <c r="V55" s="152"/>
      <c r="W55" s="152"/>
      <c r="X55" s="152"/>
      <c r="Y55" s="152"/>
      <c r="Z55" s="153"/>
    </row>
    <row r="56" ht="13.5" customHeight="1">
      <c r="A56" s="165"/>
      <c r="B56" s="166"/>
      <c r="C56" s="167"/>
      <c r="D56" s="168" t="s">
        <v>1800</v>
      </c>
      <c r="E56" s="16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 t="s">
        <v>742</v>
      </c>
      <c r="V56" s="152"/>
      <c r="W56" s="152"/>
      <c r="X56" s="152"/>
      <c r="Y56" s="152"/>
      <c r="Z56" s="153"/>
    </row>
    <row r="57" ht="13.5" customHeight="1">
      <c r="A57" s="165"/>
      <c r="B57" s="166"/>
      <c r="C57" s="167"/>
      <c r="D57" s="168" t="s">
        <v>1802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 t="s">
        <v>742</v>
      </c>
      <c r="Y57" s="152"/>
      <c r="Z57" s="153"/>
    </row>
    <row r="58" ht="13.5" customHeight="1">
      <c r="A58" s="165"/>
      <c r="B58" s="166"/>
      <c r="C58" s="167"/>
      <c r="D58" s="168" t="s">
        <v>1803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 t="s">
        <v>742</v>
      </c>
      <c r="Z58" s="153"/>
    </row>
    <row r="59" ht="13.5" customHeight="1">
      <c r="A59" s="165"/>
      <c r="B59" s="166"/>
      <c r="C59" s="167"/>
      <c r="D59" s="168" t="s">
        <v>1805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3" t="s">
        <v>742</v>
      </c>
    </row>
    <row r="60" ht="13.5" customHeight="1">
      <c r="A60" s="165"/>
      <c r="B60" s="166" t="s">
        <v>825</v>
      </c>
      <c r="C60" s="167"/>
      <c r="D60" s="168"/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3"/>
    </row>
    <row r="61" ht="13.5" customHeight="1">
      <c r="A61" s="165"/>
      <c r="B61" s="166"/>
      <c r="C61" s="167"/>
      <c r="D61" s="168" t="s">
        <v>1807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 t="s">
        <v>742</v>
      </c>
      <c r="Q61" s="152"/>
      <c r="R61" s="152"/>
      <c r="S61" s="152"/>
      <c r="T61" s="152"/>
      <c r="U61" s="152"/>
      <c r="V61" s="152"/>
      <c r="W61" s="152"/>
      <c r="X61" s="152"/>
      <c r="Y61" s="152"/>
      <c r="Z61" s="153"/>
    </row>
    <row r="62" ht="13.5" customHeight="1">
      <c r="A62" s="165"/>
      <c r="B62" s="166"/>
      <c r="C62" s="167"/>
      <c r="D62" s="168" t="s">
        <v>1809</v>
      </c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 t="s">
        <v>742</v>
      </c>
      <c r="R62" s="152"/>
      <c r="S62" s="152"/>
      <c r="T62" s="152"/>
      <c r="U62" s="152"/>
      <c r="V62" s="152"/>
      <c r="W62" s="152"/>
      <c r="X62" s="152"/>
      <c r="Y62" s="152"/>
      <c r="Z62" s="153"/>
    </row>
    <row r="63" ht="13.5" customHeight="1">
      <c r="A63" s="165"/>
      <c r="B63" s="166"/>
      <c r="C63" s="167"/>
      <c r="D63" s="168" t="s">
        <v>1810</v>
      </c>
      <c r="E63" s="169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 t="s">
        <v>742</v>
      </c>
      <c r="U63" s="152"/>
      <c r="V63" s="152"/>
      <c r="W63" s="152"/>
      <c r="X63" s="152"/>
      <c r="Y63" s="152"/>
      <c r="Z63" s="153"/>
    </row>
    <row r="64" ht="13.5" customHeight="1">
      <c r="A64" s="165"/>
      <c r="B64" s="166"/>
      <c r="C64" s="167"/>
      <c r="D64" s="168" t="s">
        <v>1812</v>
      </c>
      <c r="E64" s="169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 t="s">
        <v>742</v>
      </c>
      <c r="W64" s="152"/>
      <c r="X64" s="152"/>
      <c r="Y64" s="152"/>
      <c r="Z64" s="153"/>
    </row>
    <row r="65" ht="13.5" customHeight="1">
      <c r="A65" s="165"/>
      <c r="B65" s="166"/>
      <c r="C65" s="167"/>
      <c r="D65" s="168" t="s">
        <v>1814</v>
      </c>
      <c r="E65" s="169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 t="s">
        <v>742</v>
      </c>
      <c r="X65" s="152"/>
      <c r="Y65" s="152"/>
      <c r="Z65" s="153"/>
    </row>
    <row r="66" ht="13.5" customHeight="1">
      <c r="A66" s="165"/>
      <c r="B66" s="166" t="s">
        <v>854</v>
      </c>
      <c r="C66" s="167"/>
      <c r="D66" s="168"/>
      <c r="E66" s="169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3"/>
    </row>
    <row r="67" ht="13.5" customHeight="1">
      <c r="A67" s="165"/>
      <c r="B67" s="170"/>
      <c r="C67" s="171"/>
      <c r="D67" s="172"/>
      <c r="E67" s="173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5"/>
    </row>
    <row r="68" ht="13.5" customHeight="1">
      <c r="A68" s="160" t="s">
        <v>865</v>
      </c>
      <c r="B68" s="176" t="s">
        <v>866</v>
      </c>
      <c r="C68" s="177"/>
      <c r="D68" s="178"/>
      <c r="E68" s="179"/>
      <c r="F68" s="180" t="s">
        <v>54</v>
      </c>
      <c r="G68" s="180" t="s">
        <v>54</v>
      </c>
      <c r="H68" s="180" t="s">
        <v>54</v>
      </c>
      <c r="I68" s="180" t="s">
        <v>54</v>
      </c>
      <c r="J68" s="180" t="s">
        <v>54</v>
      </c>
      <c r="K68" s="180" t="s">
        <v>54</v>
      </c>
      <c r="L68" s="180" t="s">
        <v>54</v>
      </c>
      <c r="M68" s="180" t="s">
        <v>54</v>
      </c>
      <c r="N68" s="180" t="s">
        <v>54</v>
      </c>
      <c r="O68" s="180" t="s">
        <v>54</v>
      </c>
      <c r="P68" s="180" t="s">
        <v>55</v>
      </c>
      <c r="Q68" s="180" t="s">
        <v>55</v>
      </c>
      <c r="R68" s="180" t="s">
        <v>57</v>
      </c>
      <c r="S68" s="180" t="s">
        <v>54</v>
      </c>
      <c r="T68" s="180" t="s">
        <v>55</v>
      </c>
      <c r="U68" s="180" t="s">
        <v>54</v>
      </c>
      <c r="V68" s="180" t="s">
        <v>55</v>
      </c>
      <c r="W68" s="180" t="s">
        <v>55</v>
      </c>
      <c r="X68" s="180" t="s">
        <v>54</v>
      </c>
      <c r="Y68" s="180" t="s">
        <v>57</v>
      </c>
      <c r="Z68" s="181" t="s">
        <v>54</v>
      </c>
    </row>
    <row r="69" ht="13.5" customHeight="1">
      <c r="A69" s="165"/>
      <c r="B69" s="182" t="s">
        <v>867</v>
      </c>
      <c r="C69" s="27"/>
      <c r="D69" s="25"/>
      <c r="E69" s="183"/>
      <c r="F69" s="184" t="s">
        <v>868</v>
      </c>
      <c r="G69" s="184" t="s">
        <v>868</v>
      </c>
      <c r="H69" s="184" t="s">
        <v>868</v>
      </c>
      <c r="I69" s="184" t="s">
        <v>868</v>
      </c>
      <c r="J69" s="184" t="s">
        <v>868</v>
      </c>
      <c r="K69" s="184" t="s">
        <v>868</v>
      </c>
      <c r="L69" s="184" t="s">
        <v>868</v>
      </c>
      <c r="M69" s="184" t="s">
        <v>868</v>
      </c>
      <c r="N69" s="184" t="s">
        <v>868</v>
      </c>
      <c r="O69" s="184" t="s">
        <v>868</v>
      </c>
      <c r="P69" s="184" t="s">
        <v>868</v>
      </c>
      <c r="Q69" s="184" t="s">
        <v>868</v>
      </c>
      <c r="R69" s="184" t="s">
        <v>868</v>
      </c>
      <c r="S69" s="184" t="s">
        <v>868</v>
      </c>
      <c r="T69" s="184" t="s">
        <v>868</v>
      </c>
      <c r="U69" s="184" t="s">
        <v>868</v>
      </c>
      <c r="V69" s="184" t="s">
        <v>868</v>
      </c>
      <c r="W69" s="184" t="s">
        <v>868</v>
      </c>
      <c r="X69" s="184" t="s">
        <v>868</v>
      </c>
      <c r="Y69" s="184" t="s">
        <v>868</v>
      </c>
      <c r="Z69" s="185" t="s">
        <v>868</v>
      </c>
    </row>
    <row r="70" ht="99.75" customHeight="1">
      <c r="A70" s="165"/>
      <c r="B70" s="186" t="s">
        <v>869</v>
      </c>
      <c r="C70" s="27"/>
      <c r="D70" s="25"/>
      <c r="E70" s="169"/>
      <c r="F70" s="187">
        <v>46271.0</v>
      </c>
      <c r="G70" s="187">
        <v>46271.0</v>
      </c>
      <c r="H70" s="187">
        <v>46271.0</v>
      </c>
      <c r="I70" s="187">
        <v>46271.0</v>
      </c>
      <c r="J70" s="187">
        <v>46271.0</v>
      </c>
      <c r="K70" s="187">
        <v>46271.0</v>
      </c>
      <c r="L70" s="187">
        <v>46271.0</v>
      </c>
      <c r="M70" s="187">
        <v>46271.0</v>
      </c>
      <c r="N70" s="187">
        <v>46271.0</v>
      </c>
      <c r="O70" s="187">
        <v>46271.0</v>
      </c>
      <c r="P70" s="187">
        <v>46271.0</v>
      </c>
      <c r="Q70" s="187">
        <v>46271.0</v>
      </c>
      <c r="R70" s="187">
        <v>46271.0</v>
      </c>
      <c r="S70" s="187">
        <v>46271.0</v>
      </c>
      <c r="T70" s="187">
        <v>46271.0</v>
      </c>
      <c r="U70" s="187">
        <v>46271.0</v>
      </c>
      <c r="V70" s="187">
        <v>46271.0</v>
      </c>
      <c r="W70" s="187">
        <v>46271.0</v>
      </c>
      <c r="X70" s="187">
        <v>46271.0</v>
      </c>
      <c r="Y70" s="187">
        <v>46271.0</v>
      </c>
      <c r="Z70" s="189">
        <v>46271.0</v>
      </c>
    </row>
    <row r="71" ht="72.75" customHeight="1">
      <c r="A71" s="190"/>
      <c r="B71" s="191" t="s">
        <v>870</v>
      </c>
      <c r="C71" s="192"/>
      <c r="D71" s="193"/>
      <c r="E71" s="194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6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Z4"/>
    <mergeCell ref="C5:Z5"/>
    <mergeCell ref="A2:B2"/>
    <mergeCell ref="C2:E2"/>
    <mergeCell ref="F2:K2"/>
    <mergeCell ref="L2:Z2"/>
    <mergeCell ref="C3:E3"/>
    <mergeCell ref="F3:K3"/>
    <mergeCell ref="L3:Z3"/>
    <mergeCell ref="F6:K6"/>
    <mergeCell ref="L6:N6"/>
    <mergeCell ref="O6:Z6"/>
    <mergeCell ref="A7:B7"/>
    <mergeCell ref="C7:E7"/>
    <mergeCell ref="F7:K7"/>
    <mergeCell ref="O7:Z7"/>
    <mergeCell ref="B68:D68"/>
    <mergeCell ref="B69:D69"/>
    <mergeCell ref="B70:D70"/>
    <mergeCell ref="B71:D71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3" width="3.57"/>
    <col customWidth="1" min="24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ht="13.5" customHeight="1">
      <c r="A2" s="111" t="s">
        <v>707</v>
      </c>
      <c r="B2" s="112"/>
      <c r="C2" s="113" t="s">
        <v>365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326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ht="13.5" customHeight="1">
      <c r="A4" s="117" t="s">
        <v>711</v>
      </c>
      <c r="B4" s="27"/>
      <c r="C4" s="122">
        <v>149.0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ht="13.5" customHeight="1">
      <c r="A5" s="117" t="s">
        <v>713</v>
      </c>
      <c r="B5" s="27"/>
      <c r="C5" s="124" t="s">
        <v>1838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</row>
    <row r="7" ht="13.5" customHeight="1">
      <c r="A7" s="129">
        <f>COUNTIF(F67:W67,"P")</f>
        <v>18</v>
      </c>
      <c r="B7" s="130"/>
      <c r="C7" s="131">
        <f>COUNTIF(F67:W67,"F")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COUNTIF(F66:W66,"N")</f>
        <v>8</v>
      </c>
      <c r="M7" s="132">
        <f>COUNTIF(F66:W66,"A")</f>
        <v>9</v>
      </c>
      <c r="N7" s="132">
        <f>COUNTIF(F66:W66,"B")</f>
        <v>1</v>
      </c>
      <c r="O7" s="133">
        <f>COUNTA(F9:W9)</f>
        <v>18</v>
      </c>
      <c r="P7" s="130"/>
      <c r="Q7" s="130"/>
      <c r="R7" s="130"/>
      <c r="S7" s="130"/>
      <c r="T7" s="130"/>
      <c r="U7" s="130"/>
      <c r="V7" s="130"/>
      <c r="W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40" t="s">
        <v>733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7"/>
    </row>
    <row r="11" ht="13.5" customHeight="1">
      <c r="A11" s="148"/>
      <c r="B11" s="149"/>
      <c r="C11" s="150"/>
      <c r="D11" s="151" t="s">
        <v>1846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3"/>
    </row>
    <row r="12" ht="13.5" customHeight="1">
      <c r="A12" s="148"/>
      <c r="B12" s="149"/>
      <c r="C12" s="150"/>
      <c r="D12" s="151" t="s">
        <v>1847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3"/>
    </row>
    <row r="13" ht="13.5" customHeight="1">
      <c r="A13" s="148"/>
      <c r="B13" s="149"/>
      <c r="C13" s="150"/>
      <c r="D13" s="151" t="s">
        <v>1848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3"/>
    </row>
    <row r="14" ht="13.5" customHeight="1">
      <c r="A14" s="148"/>
      <c r="B14" s="149"/>
      <c r="C14" s="150"/>
      <c r="D14" s="151" t="s">
        <v>1849</v>
      </c>
      <c r="E14" s="145"/>
      <c r="F14" s="152"/>
      <c r="G14" s="152"/>
      <c r="H14" s="152"/>
      <c r="I14" s="152" t="s">
        <v>742</v>
      </c>
      <c r="J14" s="152" t="s">
        <v>742</v>
      </c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3"/>
    </row>
    <row r="15" ht="13.5" customHeight="1">
      <c r="A15" s="148"/>
      <c r="B15" s="149"/>
      <c r="C15" s="150"/>
      <c r="D15" s="151" t="s">
        <v>1850</v>
      </c>
      <c r="E15" s="145"/>
      <c r="F15" s="152"/>
      <c r="G15" s="152"/>
      <c r="H15" s="152"/>
      <c r="I15" s="152" t="s">
        <v>742</v>
      </c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3"/>
    </row>
    <row r="16" ht="13.5" customHeight="1">
      <c r="A16" s="148"/>
      <c r="B16" s="149"/>
      <c r="C16" s="150"/>
      <c r="D16" s="151" t="s">
        <v>1851</v>
      </c>
      <c r="E16" s="145"/>
      <c r="F16" s="152"/>
      <c r="G16" s="152"/>
      <c r="H16" s="152"/>
      <c r="I16" s="152"/>
      <c r="J16" s="152" t="s">
        <v>742</v>
      </c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3"/>
    </row>
    <row r="17" ht="13.5" customHeight="1">
      <c r="A17" s="148"/>
      <c r="B17" s="149"/>
      <c r="C17" s="150"/>
      <c r="D17" s="151" t="s">
        <v>1455</v>
      </c>
      <c r="E17" s="145"/>
      <c r="F17" s="152"/>
      <c r="G17" s="152"/>
      <c r="H17" s="152"/>
      <c r="I17" s="152"/>
      <c r="J17" s="152"/>
      <c r="K17" s="152" t="s">
        <v>742</v>
      </c>
      <c r="L17" s="152" t="s">
        <v>742</v>
      </c>
      <c r="M17" s="152" t="s">
        <v>742</v>
      </c>
      <c r="N17" s="152" t="s">
        <v>742</v>
      </c>
      <c r="O17" s="152"/>
      <c r="P17" s="152"/>
      <c r="Q17" s="152"/>
      <c r="R17" s="152"/>
      <c r="S17" s="152"/>
      <c r="T17" s="152"/>
      <c r="U17" s="152"/>
      <c r="V17" s="152"/>
      <c r="W17" s="153"/>
    </row>
    <row r="18" ht="13.5" customHeight="1">
      <c r="A18" s="148"/>
      <c r="B18" s="149"/>
      <c r="C18" s="150"/>
      <c r="D18" s="151" t="s">
        <v>1852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 t="s">
        <v>742</v>
      </c>
      <c r="P18" s="152"/>
      <c r="Q18" s="152"/>
      <c r="R18" s="152"/>
      <c r="S18" s="152"/>
      <c r="T18" s="152"/>
      <c r="U18" s="152"/>
      <c r="V18" s="152"/>
      <c r="W18" s="153"/>
    </row>
    <row r="19" ht="13.5" customHeight="1">
      <c r="A19" s="148"/>
      <c r="B19" s="149"/>
      <c r="C19" s="150"/>
      <c r="D19" s="151" t="s">
        <v>1751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 t="s">
        <v>742</v>
      </c>
      <c r="Q19" s="152"/>
      <c r="R19" s="152"/>
      <c r="S19" s="152"/>
      <c r="T19" s="152"/>
      <c r="U19" s="152"/>
      <c r="V19" s="152"/>
      <c r="W19" s="153"/>
    </row>
    <row r="20" ht="13.5" customHeight="1">
      <c r="A20" s="148"/>
      <c r="B20" s="149"/>
      <c r="C20" s="150"/>
      <c r="D20" s="151" t="s">
        <v>1853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 t="s">
        <v>742</v>
      </c>
      <c r="R20" s="152"/>
      <c r="S20" s="152"/>
      <c r="T20" s="152"/>
      <c r="U20" s="152"/>
      <c r="V20" s="152"/>
      <c r="W20" s="153"/>
    </row>
    <row r="21" ht="13.5" customHeight="1">
      <c r="A21" s="148"/>
      <c r="B21" s="149"/>
      <c r="C21" s="150"/>
      <c r="D21" s="151" t="s">
        <v>1854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 t="s">
        <v>742</v>
      </c>
      <c r="S21" s="152" t="s">
        <v>742</v>
      </c>
      <c r="T21" s="152"/>
      <c r="U21" s="152"/>
      <c r="V21" s="152"/>
      <c r="W21" s="153"/>
    </row>
    <row r="22" ht="13.5" customHeight="1">
      <c r="A22" s="148"/>
      <c r="B22" s="149"/>
      <c r="C22" s="150"/>
      <c r="D22" s="151" t="s">
        <v>1855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 t="s">
        <v>742</v>
      </c>
      <c r="U22" s="152"/>
      <c r="V22" s="152"/>
      <c r="W22" s="153"/>
    </row>
    <row r="23" ht="13.5" customHeight="1">
      <c r="A23" s="148"/>
      <c r="B23" s="149"/>
      <c r="C23" s="150"/>
      <c r="D23" s="151" t="s">
        <v>1856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 t="s">
        <v>742</v>
      </c>
      <c r="V23" s="152"/>
      <c r="W23" s="153"/>
    </row>
    <row r="24" ht="13.5" customHeight="1">
      <c r="A24" s="148"/>
      <c r="B24" s="149"/>
      <c r="C24" s="150"/>
      <c r="D24" s="151" t="s">
        <v>1857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 t="s">
        <v>742</v>
      </c>
      <c r="W24" s="153"/>
    </row>
    <row r="25" ht="13.5" customHeight="1">
      <c r="A25" s="148"/>
      <c r="B25" s="149"/>
      <c r="C25" s="150"/>
      <c r="D25" s="151" t="s">
        <v>1745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3" t="s">
        <v>742</v>
      </c>
    </row>
    <row r="26" ht="13.5" customHeight="1">
      <c r="A26" s="148"/>
      <c r="B26" s="149" t="s">
        <v>768</v>
      </c>
      <c r="C26" s="150"/>
      <c r="D26" s="151"/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3"/>
    </row>
    <row r="27" ht="13.5" customHeight="1">
      <c r="A27" s="148"/>
      <c r="B27" s="149"/>
      <c r="C27" s="150"/>
      <c r="D27" s="151" t="s">
        <v>1858</v>
      </c>
      <c r="E27" s="145"/>
      <c r="F27" s="152" t="s">
        <v>742</v>
      </c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3"/>
    </row>
    <row r="28" ht="13.5" customHeight="1">
      <c r="A28" s="148"/>
      <c r="B28" s="149"/>
      <c r="C28" s="150"/>
      <c r="D28" s="151" t="s">
        <v>1770</v>
      </c>
      <c r="E28" s="145"/>
      <c r="F28" s="152"/>
      <c r="G28" s="152" t="s">
        <v>742</v>
      </c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 t="s">
        <v>742</v>
      </c>
      <c r="W28" s="153" t="s">
        <v>742</v>
      </c>
    </row>
    <row r="29" ht="13.5" customHeight="1">
      <c r="A29" s="148"/>
      <c r="B29" s="149"/>
      <c r="C29" s="150"/>
      <c r="D29" s="151" t="s">
        <v>1859</v>
      </c>
      <c r="E29" s="145"/>
      <c r="F29" s="152"/>
      <c r="G29" s="152"/>
      <c r="H29" s="152" t="s">
        <v>742</v>
      </c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3"/>
    </row>
    <row r="30" ht="13.5" customHeight="1">
      <c r="A30" s="148"/>
      <c r="B30" s="149"/>
      <c r="C30" s="150"/>
      <c r="D30" s="151" t="s">
        <v>1860</v>
      </c>
      <c r="E30" s="145"/>
      <c r="F30" s="152"/>
      <c r="G30" s="152"/>
      <c r="H30" s="152"/>
      <c r="I30" s="152" t="s">
        <v>742</v>
      </c>
      <c r="J30" s="152" t="s">
        <v>742</v>
      </c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3"/>
    </row>
    <row r="31" ht="13.5" customHeight="1">
      <c r="A31" s="148"/>
      <c r="B31" s="149"/>
      <c r="C31" s="150"/>
      <c r="D31" s="151" t="s">
        <v>1861</v>
      </c>
      <c r="E31" s="145"/>
      <c r="F31" s="152"/>
      <c r="G31" s="152"/>
      <c r="H31" s="152"/>
      <c r="I31" s="152"/>
      <c r="J31" s="152"/>
      <c r="K31" s="152" t="s">
        <v>742</v>
      </c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3"/>
    </row>
    <row r="32" ht="13.5" customHeight="1">
      <c r="A32" s="148"/>
      <c r="B32" s="149"/>
      <c r="C32" s="150"/>
      <c r="D32" s="151" t="s">
        <v>1862</v>
      </c>
      <c r="E32" s="145"/>
      <c r="F32" s="152"/>
      <c r="G32" s="152"/>
      <c r="H32" s="152"/>
      <c r="I32" s="152"/>
      <c r="J32" s="152"/>
      <c r="K32" s="152"/>
      <c r="L32" s="152" t="s">
        <v>742</v>
      </c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3"/>
    </row>
    <row r="33" ht="13.5" customHeight="1">
      <c r="A33" s="148"/>
      <c r="B33" s="149"/>
      <c r="C33" s="150"/>
      <c r="D33" s="151" t="s">
        <v>1863</v>
      </c>
      <c r="E33" s="145"/>
      <c r="F33" s="152"/>
      <c r="G33" s="152"/>
      <c r="H33" s="152"/>
      <c r="I33" s="152"/>
      <c r="J33" s="152"/>
      <c r="K33" s="152"/>
      <c r="L33" s="152"/>
      <c r="M33" s="152" t="s">
        <v>742</v>
      </c>
      <c r="N33" s="152"/>
      <c r="O33" s="152"/>
      <c r="P33" s="152"/>
      <c r="Q33" s="152"/>
      <c r="R33" s="152"/>
      <c r="S33" s="152"/>
      <c r="T33" s="152"/>
      <c r="U33" s="152"/>
      <c r="V33" s="152"/>
      <c r="W33" s="153"/>
    </row>
    <row r="34" ht="13.5" customHeight="1">
      <c r="A34" s="148"/>
      <c r="B34" s="149"/>
      <c r="C34" s="150"/>
      <c r="D34" s="151" t="s">
        <v>1864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 t="s">
        <v>742</v>
      </c>
      <c r="O34" s="152"/>
      <c r="P34" s="152"/>
      <c r="Q34" s="152"/>
      <c r="R34" s="152"/>
      <c r="S34" s="152"/>
      <c r="T34" s="152"/>
      <c r="U34" s="152"/>
      <c r="V34" s="152"/>
      <c r="W34" s="153"/>
    </row>
    <row r="35" ht="13.5" customHeight="1">
      <c r="A35" s="148"/>
      <c r="B35" s="149"/>
      <c r="C35" s="150"/>
      <c r="D35" s="151" t="s">
        <v>1865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 t="s">
        <v>742</v>
      </c>
      <c r="P35" s="152"/>
      <c r="Q35" s="152"/>
      <c r="R35" s="152"/>
      <c r="S35" s="152"/>
      <c r="T35" s="152"/>
      <c r="U35" s="152"/>
      <c r="V35" s="152"/>
      <c r="W35" s="153"/>
    </row>
    <row r="36" ht="13.5" customHeight="1">
      <c r="A36" s="148"/>
      <c r="B36" s="149"/>
      <c r="C36" s="150"/>
      <c r="D36" s="151" t="s">
        <v>1866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 t="s">
        <v>742</v>
      </c>
      <c r="Q36" s="152"/>
      <c r="R36" s="152"/>
      <c r="S36" s="152"/>
      <c r="T36" s="152"/>
      <c r="U36" s="152"/>
      <c r="V36" s="152"/>
      <c r="W36" s="153"/>
    </row>
    <row r="37" ht="13.5" customHeight="1">
      <c r="A37" s="148"/>
      <c r="B37" s="149"/>
      <c r="C37" s="150"/>
      <c r="D37" s="151" t="s">
        <v>1867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 t="s">
        <v>742</v>
      </c>
      <c r="R37" s="152"/>
      <c r="S37" s="152"/>
      <c r="T37" s="152"/>
      <c r="U37" s="152"/>
      <c r="V37" s="152"/>
      <c r="W37" s="153"/>
    </row>
    <row r="38" ht="13.5" customHeight="1">
      <c r="A38" s="148"/>
      <c r="B38" s="149"/>
      <c r="C38" s="150"/>
      <c r="D38" s="151" t="s">
        <v>1868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 t="s">
        <v>742</v>
      </c>
      <c r="S38" s="152"/>
      <c r="T38" s="152"/>
      <c r="U38" s="152"/>
      <c r="V38" s="152"/>
      <c r="W38" s="153"/>
    </row>
    <row r="39" ht="13.5" customHeight="1">
      <c r="A39" s="148"/>
      <c r="B39" s="149"/>
      <c r="C39" s="150"/>
      <c r="D39" s="151" t="s">
        <v>1869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 t="s">
        <v>742</v>
      </c>
      <c r="T39" s="152"/>
      <c r="U39" s="152"/>
      <c r="V39" s="152"/>
      <c r="W39" s="153"/>
    </row>
    <row r="40" ht="13.5" customHeight="1">
      <c r="A40" s="148"/>
      <c r="B40" s="149"/>
      <c r="C40" s="150"/>
      <c r="D40" s="151" t="s">
        <v>1870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 t="s">
        <v>742</v>
      </c>
      <c r="U40" s="152"/>
      <c r="V40" s="152"/>
      <c r="W40" s="153"/>
    </row>
    <row r="41" ht="13.5" customHeight="1">
      <c r="A41" s="148"/>
      <c r="B41" s="149"/>
      <c r="C41" s="150"/>
      <c r="D41" s="151" t="s">
        <v>1871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 t="s">
        <v>742</v>
      </c>
      <c r="V41" s="152"/>
      <c r="W41" s="153"/>
    </row>
    <row r="42" ht="13.5" customHeight="1">
      <c r="A42" s="148"/>
      <c r="B42" s="154"/>
      <c r="C42" s="155"/>
      <c r="D42" s="156"/>
      <c r="E42" s="157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9"/>
    </row>
    <row r="43" ht="13.5" customHeight="1">
      <c r="A43" s="160" t="s">
        <v>802</v>
      </c>
      <c r="B43" s="161" t="s">
        <v>804</v>
      </c>
      <c r="C43" s="162"/>
      <c r="D43" s="163"/>
      <c r="E43" s="164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7"/>
    </row>
    <row r="44" ht="13.5" customHeight="1">
      <c r="A44" s="165"/>
      <c r="B44" s="166"/>
      <c r="C44" s="167"/>
      <c r="D44" s="168" t="s">
        <v>1873</v>
      </c>
      <c r="E44" s="169"/>
      <c r="F44" s="152" t="s">
        <v>742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3"/>
    </row>
    <row r="45" ht="13.5" customHeight="1">
      <c r="A45" s="165"/>
      <c r="B45" s="166"/>
      <c r="C45" s="167"/>
      <c r="D45" s="168" t="s">
        <v>1874</v>
      </c>
      <c r="E45" s="169"/>
      <c r="F45" s="152"/>
      <c r="G45" s="152"/>
      <c r="H45" s="152" t="s">
        <v>742</v>
      </c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3"/>
    </row>
    <row r="46" ht="13.5" customHeight="1">
      <c r="A46" s="165"/>
      <c r="B46" s="166"/>
      <c r="C46" s="167"/>
      <c r="D46" s="168" t="s">
        <v>1875</v>
      </c>
      <c r="E46" s="169"/>
      <c r="F46" s="152"/>
      <c r="G46" s="152"/>
      <c r="H46" s="152" t="s">
        <v>742</v>
      </c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3"/>
    </row>
    <row r="47" ht="13.5" customHeight="1">
      <c r="A47" s="165"/>
      <c r="B47" s="166"/>
      <c r="C47" s="167"/>
      <c r="D47" s="168" t="s">
        <v>1876</v>
      </c>
      <c r="E47" s="169"/>
      <c r="F47" s="152"/>
      <c r="G47" s="152"/>
      <c r="H47" s="152"/>
      <c r="I47" s="152" t="s">
        <v>742</v>
      </c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3"/>
    </row>
    <row r="48" ht="13.5" customHeight="1">
      <c r="A48" s="165"/>
      <c r="B48" s="166"/>
      <c r="C48" s="167"/>
      <c r="D48" s="168" t="s">
        <v>1877</v>
      </c>
      <c r="E48" s="169"/>
      <c r="F48" s="152"/>
      <c r="G48" s="152"/>
      <c r="H48" s="152"/>
      <c r="I48" s="152"/>
      <c r="J48" s="152" t="s">
        <v>742</v>
      </c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3"/>
    </row>
    <row r="49" ht="13.5" customHeight="1">
      <c r="A49" s="165"/>
      <c r="B49" s="166"/>
      <c r="C49" s="167"/>
      <c r="D49" s="168" t="s">
        <v>1878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 t="s">
        <v>742</v>
      </c>
      <c r="S49" s="152"/>
      <c r="T49" s="152"/>
      <c r="U49" s="152"/>
      <c r="V49" s="152"/>
      <c r="W49" s="153"/>
    </row>
    <row r="50" ht="13.5" customHeight="1">
      <c r="A50" s="165"/>
      <c r="B50" s="166"/>
      <c r="C50" s="167"/>
      <c r="D50" s="168" t="s">
        <v>1879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 t="s">
        <v>742</v>
      </c>
      <c r="T50" s="152"/>
      <c r="U50" s="152"/>
      <c r="V50" s="152"/>
      <c r="W50" s="153"/>
    </row>
    <row r="51" ht="13.5" customHeight="1">
      <c r="A51" s="165"/>
      <c r="B51" s="166"/>
      <c r="C51" s="167"/>
      <c r="D51" s="168" t="s">
        <v>1880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 t="s">
        <v>742</v>
      </c>
      <c r="U51" s="152"/>
      <c r="V51" s="152"/>
      <c r="W51" s="153"/>
    </row>
    <row r="52" ht="13.5" customHeight="1">
      <c r="A52" s="165"/>
      <c r="B52" s="166"/>
      <c r="C52" s="167"/>
      <c r="D52" s="168" t="s">
        <v>1881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 t="s">
        <v>742</v>
      </c>
      <c r="V52" s="152"/>
      <c r="W52" s="153"/>
    </row>
    <row r="53" ht="13.5" customHeight="1">
      <c r="A53" s="165"/>
      <c r="B53" s="166"/>
      <c r="C53" s="167"/>
      <c r="D53" s="168" t="s">
        <v>1882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 t="s">
        <v>742</v>
      </c>
      <c r="W53" s="153"/>
    </row>
    <row r="54" ht="13.5" customHeight="1">
      <c r="A54" s="165"/>
      <c r="B54" s="166" t="s">
        <v>825</v>
      </c>
      <c r="C54" s="167"/>
      <c r="D54" s="168"/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3"/>
    </row>
    <row r="55" ht="13.5" customHeight="1">
      <c r="A55" s="165"/>
      <c r="B55" s="166"/>
      <c r="C55" s="167"/>
      <c r="D55" s="168" t="s">
        <v>1884</v>
      </c>
      <c r="E55" s="169"/>
      <c r="F55" s="152"/>
      <c r="G55" s="152" t="s">
        <v>742</v>
      </c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3"/>
    </row>
    <row r="56" ht="13.5" customHeight="1">
      <c r="A56" s="165"/>
      <c r="B56" s="166"/>
      <c r="C56" s="167"/>
      <c r="D56" s="168" t="s">
        <v>1886</v>
      </c>
      <c r="E56" s="169"/>
      <c r="F56" s="152"/>
      <c r="G56" s="152"/>
      <c r="H56" s="152"/>
      <c r="I56" s="152"/>
      <c r="J56" s="152"/>
      <c r="K56" s="152" t="s">
        <v>742</v>
      </c>
      <c r="L56" s="152" t="s">
        <v>742</v>
      </c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3"/>
    </row>
    <row r="57" ht="13.5" customHeight="1">
      <c r="A57" s="165"/>
      <c r="B57" s="166"/>
      <c r="C57" s="167"/>
      <c r="D57" s="168" t="s">
        <v>1889</v>
      </c>
      <c r="E57" s="169"/>
      <c r="F57" s="152"/>
      <c r="G57" s="152"/>
      <c r="H57" s="152"/>
      <c r="I57" s="152"/>
      <c r="J57" s="152"/>
      <c r="K57" s="152"/>
      <c r="L57" s="152"/>
      <c r="M57" s="152" t="s">
        <v>742</v>
      </c>
      <c r="N57" s="152"/>
      <c r="O57" s="152"/>
      <c r="P57" s="152"/>
      <c r="Q57" s="152"/>
      <c r="R57" s="152"/>
      <c r="S57" s="152"/>
      <c r="T57" s="152"/>
      <c r="U57" s="152"/>
      <c r="V57" s="152"/>
      <c r="W57" s="153"/>
    </row>
    <row r="58" ht="13.5" customHeight="1">
      <c r="A58" s="165"/>
      <c r="B58" s="166"/>
      <c r="C58" s="167"/>
      <c r="D58" s="168" t="s">
        <v>1890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 t="s">
        <v>742</v>
      </c>
      <c r="O58" s="152"/>
      <c r="P58" s="152"/>
      <c r="Q58" s="152"/>
      <c r="R58" s="152"/>
      <c r="S58" s="152"/>
      <c r="T58" s="152"/>
      <c r="U58" s="152"/>
      <c r="V58" s="152"/>
      <c r="W58" s="153"/>
    </row>
    <row r="59" ht="13.5" customHeight="1">
      <c r="A59" s="165"/>
      <c r="B59" s="166"/>
      <c r="C59" s="167"/>
      <c r="D59" s="168" t="s">
        <v>1892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 t="s">
        <v>742</v>
      </c>
      <c r="P59" s="152"/>
      <c r="Q59" s="152"/>
      <c r="R59" s="152"/>
      <c r="S59" s="152"/>
      <c r="T59" s="152"/>
      <c r="U59" s="152"/>
      <c r="V59" s="152"/>
      <c r="W59" s="153"/>
    </row>
    <row r="60" ht="13.5" customHeight="1">
      <c r="A60" s="165"/>
      <c r="B60" s="166"/>
      <c r="C60" s="167"/>
      <c r="D60" s="168" t="s">
        <v>1894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 t="s">
        <v>742</v>
      </c>
      <c r="Q60" s="152"/>
      <c r="R60" s="152"/>
      <c r="S60" s="152"/>
      <c r="T60" s="152"/>
      <c r="U60" s="152"/>
      <c r="V60" s="152"/>
      <c r="W60" s="153"/>
    </row>
    <row r="61" ht="13.5" customHeight="1">
      <c r="A61" s="165"/>
      <c r="B61" s="166"/>
      <c r="C61" s="167"/>
      <c r="D61" s="168" t="s">
        <v>1897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 t="s">
        <v>742</v>
      </c>
      <c r="R61" s="152"/>
      <c r="S61" s="152"/>
      <c r="T61" s="152"/>
      <c r="U61" s="152"/>
      <c r="V61" s="152"/>
      <c r="W61" s="153"/>
    </row>
    <row r="62" ht="13.5" customHeight="1">
      <c r="A62" s="165"/>
      <c r="B62" s="166"/>
      <c r="C62" s="167"/>
      <c r="D62" s="168" t="s">
        <v>1899</v>
      </c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3" t="s">
        <v>742</v>
      </c>
    </row>
    <row r="63" ht="13.5" customHeight="1">
      <c r="A63" s="165"/>
      <c r="B63" s="166" t="s">
        <v>854</v>
      </c>
      <c r="C63" s="167"/>
      <c r="D63" s="168"/>
      <c r="E63" s="169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3"/>
    </row>
    <row r="64" ht="13.5" customHeight="1">
      <c r="A64" s="165"/>
      <c r="B64" s="166"/>
      <c r="C64" s="167"/>
      <c r="D64" s="168" t="s">
        <v>1901</v>
      </c>
      <c r="E64" s="169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 t="s">
        <v>742</v>
      </c>
      <c r="V64" s="152"/>
      <c r="W64" s="153"/>
    </row>
    <row r="65" ht="13.5" customHeight="1">
      <c r="A65" s="165"/>
      <c r="B65" s="170"/>
      <c r="C65" s="171"/>
      <c r="D65" s="172"/>
      <c r="E65" s="173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5"/>
    </row>
    <row r="66" ht="13.5" customHeight="1">
      <c r="A66" s="160" t="s">
        <v>865</v>
      </c>
      <c r="B66" s="176" t="s">
        <v>866</v>
      </c>
      <c r="C66" s="177"/>
      <c r="D66" s="178"/>
      <c r="E66" s="179"/>
      <c r="F66" s="180" t="s">
        <v>54</v>
      </c>
      <c r="G66" s="180" t="s">
        <v>55</v>
      </c>
      <c r="H66" s="180" t="s">
        <v>54</v>
      </c>
      <c r="I66" s="180" t="s">
        <v>54</v>
      </c>
      <c r="J66" s="180" t="s">
        <v>54</v>
      </c>
      <c r="K66" s="180" t="s">
        <v>55</v>
      </c>
      <c r="L66" s="180" t="s">
        <v>57</v>
      </c>
      <c r="M66" s="180" t="s">
        <v>55</v>
      </c>
      <c r="N66" s="180" t="s">
        <v>55</v>
      </c>
      <c r="O66" s="180" t="s">
        <v>55</v>
      </c>
      <c r="P66" s="180" t="s">
        <v>55</v>
      </c>
      <c r="Q66" s="180" t="s">
        <v>55</v>
      </c>
      <c r="R66" s="180" t="s">
        <v>54</v>
      </c>
      <c r="S66" s="180" t="s">
        <v>54</v>
      </c>
      <c r="T66" s="180" t="s">
        <v>54</v>
      </c>
      <c r="U66" s="180" t="s">
        <v>55</v>
      </c>
      <c r="V66" s="180" t="s">
        <v>54</v>
      </c>
      <c r="W66" s="181" t="s">
        <v>55</v>
      </c>
    </row>
    <row r="67" ht="13.5" customHeight="1">
      <c r="A67" s="165"/>
      <c r="B67" s="182" t="s">
        <v>867</v>
      </c>
      <c r="C67" s="27"/>
      <c r="D67" s="25"/>
      <c r="E67" s="183"/>
      <c r="F67" s="184" t="s">
        <v>868</v>
      </c>
      <c r="G67" s="184" t="s">
        <v>868</v>
      </c>
      <c r="H67" s="184" t="s">
        <v>868</v>
      </c>
      <c r="I67" s="184" t="s">
        <v>868</v>
      </c>
      <c r="J67" s="184" t="s">
        <v>868</v>
      </c>
      <c r="K67" s="184" t="s">
        <v>868</v>
      </c>
      <c r="L67" s="184" t="s">
        <v>868</v>
      </c>
      <c r="M67" s="184" t="s">
        <v>868</v>
      </c>
      <c r="N67" s="184" t="s">
        <v>868</v>
      </c>
      <c r="O67" s="184" t="s">
        <v>868</v>
      </c>
      <c r="P67" s="184" t="s">
        <v>868</v>
      </c>
      <c r="Q67" s="184" t="s">
        <v>868</v>
      </c>
      <c r="R67" s="184" t="s">
        <v>868</v>
      </c>
      <c r="S67" s="184" t="s">
        <v>868</v>
      </c>
      <c r="T67" s="184" t="s">
        <v>868</v>
      </c>
      <c r="U67" s="184" t="s">
        <v>868</v>
      </c>
      <c r="V67" s="184" t="s">
        <v>868</v>
      </c>
      <c r="W67" s="185" t="s">
        <v>868</v>
      </c>
    </row>
    <row r="68" ht="99.75" customHeight="1">
      <c r="A68" s="165"/>
      <c r="B68" s="186" t="s">
        <v>869</v>
      </c>
      <c r="C68" s="27"/>
      <c r="D68" s="25"/>
      <c r="E68" s="169"/>
      <c r="F68" s="187">
        <v>46270.0</v>
      </c>
      <c r="G68" s="187">
        <v>46270.0</v>
      </c>
      <c r="H68" s="187">
        <v>46270.0</v>
      </c>
      <c r="I68" s="187">
        <v>46270.0</v>
      </c>
      <c r="J68" s="187">
        <v>46270.0</v>
      </c>
      <c r="K68" s="187">
        <v>46270.0</v>
      </c>
      <c r="L68" s="187">
        <v>46270.0</v>
      </c>
      <c r="M68" s="187">
        <v>46270.0</v>
      </c>
      <c r="N68" s="187">
        <v>46270.0</v>
      </c>
      <c r="O68" s="187">
        <v>46270.0</v>
      </c>
      <c r="P68" s="187">
        <v>46270.0</v>
      </c>
      <c r="Q68" s="187">
        <v>46270.0</v>
      </c>
      <c r="R68" s="187">
        <v>46270.0</v>
      </c>
      <c r="S68" s="187">
        <v>46270.0</v>
      </c>
      <c r="T68" s="187">
        <v>46270.0</v>
      </c>
      <c r="U68" s="187">
        <v>46270.0</v>
      </c>
      <c r="V68" s="187">
        <v>46270.0</v>
      </c>
      <c r="W68" s="189">
        <v>46270.0</v>
      </c>
    </row>
    <row r="69" ht="72.75" customHeight="1">
      <c r="A69" s="190"/>
      <c r="B69" s="191" t="s">
        <v>870</v>
      </c>
      <c r="C69" s="192"/>
      <c r="D69" s="193"/>
      <c r="E69" s="194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6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W4"/>
    <mergeCell ref="C5:W5"/>
    <mergeCell ref="A2:B2"/>
    <mergeCell ref="C2:E2"/>
    <mergeCell ref="F2:K2"/>
    <mergeCell ref="L2:W2"/>
    <mergeCell ref="C3:E3"/>
    <mergeCell ref="F3:K3"/>
    <mergeCell ref="L3:W3"/>
    <mergeCell ref="F6:K6"/>
    <mergeCell ref="L6:N6"/>
    <mergeCell ref="O6:W6"/>
    <mergeCell ref="A7:B7"/>
    <mergeCell ref="C7:E7"/>
    <mergeCell ref="F7:K7"/>
    <mergeCell ref="O7:W7"/>
    <mergeCell ref="B66:D66"/>
    <mergeCell ref="B67:D67"/>
    <mergeCell ref="B68:D68"/>
    <mergeCell ref="B69:D69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27.0" customHeight="1">
      <c r="A2" s="111" t="s">
        <v>707</v>
      </c>
      <c r="B2" s="112"/>
      <c r="C2" s="113" t="s">
        <v>373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333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38.0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1872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COUNTIF(F36:T36,"P")</f>
        <v>7</v>
      </c>
      <c r="B7" s="130"/>
      <c r="C7" s="131">
        <f>COUNTIF(F36:T36,"F")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COUNTIF(F35:T35,"N")</f>
        <v>5</v>
      </c>
      <c r="M7" s="132">
        <f>COUNTIF(F35:T35,"A")</f>
        <v>0</v>
      </c>
      <c r="N7" s="132">
        <f>COUNTIF(F35:T35,"B")</f>
        <v>2</v>
      </c>
      <c r="O7" s="133">
        <f>COUNTA(F9:T9)</f>
        <v>7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/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1883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1455</v>
      </c>
      <c r="E12" s="145"/>
      <c r="F12" s="152"/>
      <c r="G12" s="152" t="s">
        <v>742</v>
      </c>
      <c r="H12" s="152" t="s">
        <v>742</v>
      </c>
      <c r="I12" s="152"/>
      <c r="J12" s="152"/>
      <c r="K12" s="152"/>
      <c r="L12" s="152" t="s">
        <v>742</v>
      </c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1885</v>
      </c>
      <c r="E13" s="145"/>
      <c r="F13" s="152"/>
      <c r="G13" s="152"/>
      <c r="H13" s="152"/>
      <c r="I13" s="152" t="s">
        <v>742</v>
      </c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1887</v>
      </c>
      <c r="E14" s="145"/>
      <c r="F14" s="152"/>
      <c r="G14" s="152"/>
      <c r="H14" s="152"/>
      <c r="I14" s="152"/>
      <c r="J14" s="152" t="s">
        <v>742</v>
      </c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1888</v>
      </c>
      <c r="E15" s="145"/>
      <c r="F15" s="152"/>
      <c r="G15" s="152"/>
      <c r="H15" s="152"/>
      <c r="I15" s="152"/>
      <c r="J15" s="152"/>
      <c r="K15" s="152" t="s">
        <v>742</v>
      </c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 t="s">
        <v>768</v>
      </c>
      <c r="C16" s="150"/>
      <c r="D16" s="151"/>
      <c r="E16" s="145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1891</v>
      </c>
      <c r="E17" s="145"/>
      <c r="F17" s="152" t="s">
        <v>742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1893</v>
      </c>
      <c r="E18" s="145"/>
      <c r="F18" s="152"/>
      <c r="G18" s="152" t="s">
        <v>742</v>
      </c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1895</v>
      </c>
      <c r="E19" s="145"/>
      <c r="F19" s="152"/>
      <c r="G19" s="152"/>
      <c r="H19" s="152" t="s">
        <v>742</v>
      </c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1896</v>
      </c>
      <c r="E20" s="145"/>
      <c r="F20" s="152"/>
      <c r="G20" s="152"/>
      <c r="H20" s="152"/>
      <c r="I20" s="152" t="s">
        <v>742</v>
      </c>
      <c r="J20" s="152" t="s">
        <v>742</v>
      </c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1898</v>
      </c>
      <c r="E21" s="145"/>
      <c r="F21" s="152"/>
      <c r="G21" s="152"/>
      <c r="H21" s="152"/>
      <c r="I21" s="152"/>
      <c r="J21" s="152"/>
      <c r="K21" s="152" t="s">
        <v>742</v>
      </c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1900</v>
      </c>
      <c r="E22" s="145"/>
      <c r="F22" s="152"/>
      <c r="G22" s="152"/>
      <c r="H22" s="152"/>
      <c r="I22" s="152"/>
      <c r="J22" s="152"/>
      <c r="K22" s="152"/>
      <c r="L22" s="152" t="s">
        <v>742</v>
      </c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54"/>
      <c r="C23" s="155"/>
      <c r="D23" s="156"/>
      <c r="E23" s="157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9"/>
    </row>
    <row r="24" ht="13.5" customHeight="1">
      <c r="A24" s="160" t="s">
        <v>802</v>
      </c>
      <c r="B24" s="161" t="s">
        <v>804</v>
      </c>
      <c r="C24" s="162"/>
      <c r="D24" s="163"/>
      <c r="E24" s="164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7"/>
    </row>
    <row r="25" ht="13.5" customHeight="1">
      <c r="A25" s="165"/>
      <c r="B25" s="166"/>
      <c r="C25" s="167"/>
      <c r="D25" s="168" t="s">
        <v>1902</v>
      </c>
      <c r="E25" s="169"/>
      <c r="F25" s="152" t="s">
        <v>742</v>
      </c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65"/>
      <c r="B26" s="166"/>
      <c r="C26" s="167"/>
      <c r="D26" s="168" t="s">
        <v>1903</v>
      </c>
      <c r="E26" s="169"/>
      <c r="F26" s="152"/>
      <c r="G26" s="152" t="s">
        <v>742</v>
      </c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65"/>
      <c r="B27" s="166"/>
      <c r="C27" s="167"/>
      <c r="D27" s="168" t="s">
        <v>1904</v>
      </c>
      <c r="E27" s="169"/>
      <c r="F27" s="152"/>
      <c r="G27" s="152"/>
      <c r="H27" s="152" t="s">
        <v>742</v>
      </c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65"/>
      <c r="B28" s="166"/>
      <c r="C28" s="167"/>
      <c r="D28" s="168" t="s">
        <v>1905</v>
      </c>
      <c r="E28" s="169"/>
      <c r="F28" s="152"/>
      <c r="G28" s="152"/>
      <c r="H28" s="152"/>
      <c r="I28" s="152" t="s">
        <v>742</v>
      </c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66"/>
      <c r="C29" s="167"/>
      <c r="D29" s="168" t="s">
        <v>1906</v>
      </c>
      <c r="E29" s="169"/>
      <c r="F29" s="152"/>
      <c r="G29" s="152"/>
      <c r="H29" s="152"/>
      <c r="I29" s="152"/>
      <c r="J29" s="152" t="s">
        <v>742</v>
      </c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/>
      <c r="C30" s="167"/>
      <c r="D30" s="168" t="s">
        <v>1907</v>
      </c>
      <c r="E30" s="169"/>
      <c r="F30" s="152"/>
      <c r="G30" s="152"/>
      <c r="H30" s="152"/>
      <c r="I30" s="152"/>
      <c r="J30" s="152"/>
      <c r="K30" s="152" t="s">
        <v>742</v>
      </c>
      <c r="L30" s="152"/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65"/>
      <c r="B31" s="166"/>
      <c r="C31" s="167"/>
      <c r="D31" s="168" t="s">
        <v>1908</v>
      </c>
      <c r="E31" s="169"/>
      <c r="F31" s="152"/>
      <c r="G31" s="152"/>
      <c r="H31" s="152"/>
      <c r="I31" s="152"/>
      <c r="J31" s="152"/>
      <c r="K31" s="152"/>
      <c r="L31" s="152" t="s">
        <v>742</v>
      </c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 t="s">
        <v>825</v>
      </c>
      <c r="C32" s="167"/>
      <c r="D32" s="168"/>
      <c r="E32" s="169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 t="s">
        <v>854</v>
      </c>
      <c r="C33" s="167"/>
      <c r="D33" s="168"/>
      <c r="E33" s="169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70"/>
      <c r="C34" s="171"/>
      <c r="D34" s="172"/>
      <c r="E34" s="173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5"/>
    </row>
    <row r="35" ht="13.5" customHeight="1">
      <c r="A35" s="160" t="s">
        <v>865</v>
      </c>
      <c r="B35" s="176" t="s">
        <v>866</v>
      </c>
      <c r="C35" s="177"/>
      <c r="D35" s="178"/>
      <c r="E35" s="179"/>
      <c r="F35" s="180" t="s">
        <v>54</v>
      </c>
      <c r="G35" s="180" t="s">
        <v>54</v>
      </c>
      <c r="H35" s="180" t="s">
        <v>57</v>
      </c>
      <c r="I35" s="180" t="s">
        <v>54</v>
      </c>
      <c r="J35" s="180" t="s">
        <v>54</v>
      </c>
      <c r="K35" s="180" t="s">
        <v>54</v>
      </c>
      <c r="L35" s="180" t="s">
        <v>57</v>
      </c>
      <c r="M35" s="180"/>
      <c r="N35" s="180"/>
      <c r="O35" s="180"/>
      <c r="P35" s="180"/>
      <c r="Q35" s="180"/>
      <c r="R35" s="180"/>
      <c r="S35" s="180"/>
      <c r="T35" s="181"/>
    </row>
    <row r="36" ht="13.5" customHeight="1">
      <c r="A36" s="165"/>
      <c r="B36" s="182" t="s">
        <v>867</v>
      </c>
      <c r="C36" s="27"/>
      <c r="D36" s="25"/>
      <c r="E36" s="183"/>
      <c r="F36" s="184" t="s">
        <v>868</v>
      </c>
      <c r="G36" s="184" t="s">
        <v>868</v>
      </c>
      <c r="H36" s="184" t="s">
        <v>868</v>
      </c>
      <c r="I36" s="184" t="s">
        <v>868</v>
      </c>
      <c r="J36" s="184" t="s">
        <v>868</v>
      </c>
      <c r="K36" s="184" t="s">
        <v>868</v>
      </c>
      <c r="L36" s="184" t="s">
        <v>868</v>
      </c>
      <c r="M36" s="184"/>
      <c r="N36" s="184"/>
      <c r="O36" s="184"/>
      <c r="P36" s="184"/>
      <c r="Q36" s="184"/>
      <c r="R36" s="184"/>
      <c r="S36" s="184"/>
      <c r="T36" s="185"/>
    </row>
    <row r="37" ht="99.75" customHeight="1">
      <c r="A37" s="165"/>
      <c r="B37" s="186" t="s">
        <v>869</v>
      </c>
      <c r="C37" s="27"/>
      <c r="D37" s="25"/>
      <c r="E37" s="169"/>
      <c r="F37" s="187">
        <v>46246.0</v>
      </c>
      <c r="G37" s="187">
        <v>46246.0</v>
      </c>
      <c r="H37" s="187">
        <v>46246.0</v>
      </c>
      <c r="I37" s="187">
        <v>46246.0</v>
      </c>
      <c r="J37" s="187">
        <v>46246.0</v>
      </c>
      <c r="K37" s="187">
        <v>46246.0</v>
      </c>
      <c r="L37" s="187">
        <v>46246.0</v>
      </c>
      <c r="M37" s="197"/>
      <c r="N37" s="197"/>
      <c r="O37" s="197"/>
      <c r="P37" s="197"/>
      <c r="Q37" s="197"/>
      <c r="R37" s="197"/>
      <c r="S37" s="197"/>
      <c r="T37" s="188"/>
    </row>
    <row r="38" ht="72.75" customHeight="1">
      <c r="A38" s="190"/>
      <c r="B38" s="191" t="s">
        <v>870</v>
      </c>
      <c r="C38" s="192"/>
      <c r="D38" s="193"/>
      <c r="E38" s="194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6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5:D35"/>
    <mergeCell ref="B36:D36"/>
    <mergeCell ref="B37:D37"/>
    <mergeCell ref="B38:D38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27.0" customHeight="1">
      <c r="A2" s="111" t="s">
        <v>707</v>
      </c>
      <c r="B2" s="112"/>
      <c r="C2" s="113" t="s">
        <v>378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338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110.0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1909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COUNTIF(F55:T55,"P")</f>
        <v>15</v>
      </c>
      <c r="B7" s="130"/>
      <c r="C7" s="131">
        <f>COUNTIF(F55:T55,"F")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COUNTIF(F54:T54,"N")</f>
        <v>8</v>
      </c>
      <c r="M7" s="132">
        <f>COUNTIF(F54:T54,"A")</f>
        <v>3</v>
      </c>
      <c r="N7" s="132">
        <f>COUNTIF(F54:T54,"B")</f>
        <v>4</v>
      </c>
      <c r="O7" s="133">
        <f>COUNTA(F9:T9)</f>
        <v>15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40" t="s">
        <v>730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1910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1911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1912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1913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1914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1915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1455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 t="s">
        <v>742</v>
      </c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1888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 t="s">
        <v>742</v>
      </c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1916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 t="s">
        <v>742</v>
      </c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1917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 t="s">
        <v>742</v>
      </c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1918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 t="s">
        <v>742</v>
      </c>
      <c r="R21" s="152"/>
      <c r="S21" s="152"/>
      <c r="T21" s="153"/>
    </row>
    <row r="22" ht="13.5" customHeight="1">
      <c r="A22" s="148"/>
      <c r="B22" s="149"/>
      <c r="C22" s="150"/>
      <c r="D22" s="151" t="s">
        <v>1919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 t="s">
        <v>742</v>
      </c>
      <c r="S22" s="152"/>
      <c r="T22" s="153"/>
    </row>
    <row r="23" ht="13.5" customHeight="1">
      <c r="A23" s="148"/>
      <c r="B23" s="149"/>
      <c r="C23" s="150"/>
      <c r="D23" s="151" t="s">
        <v>1920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 t="s">
        <v>742</v>
      </c>
      <c r="T23" s="153"/>
    </row>
    <row r="24" ht="13.5" customHeight="1">
      <c r="A24" s="148"/>
      <c r="B24" s="149"/>
      <c r="C24" s="150"/>
      <c r="D24" s="151" t="s">
        <v>1921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 t="s">
        <v>742</v>
      </c>
    </row>
    <row r="25" ht="13.5" customHeight="1">
      <c r="A25" s="148"/>
      <c r="B25" s="149" t="s">
        <v>768</v>
      </c>
      <c r="C25" s="150"/>
      <c r="D25" s="151"/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1922</v>
      </c>
      <c r="E26" s="145"/>
      <c r="F26" s="152" t="s">
        <v>742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1923</v>
      </c>
      <c r="E27" s="145"/>
      <c r="F27" s="152"/>
      <c r="G27" s="152" t="s">
        <v>742</v>
      </c>
      <c r="H27" s="152" t="s">
        <v>742</v>
      </c>
      <c r="I27" s="152" t="s">
        <v>742</v>
      </c>
      <c r="J27" s="152" t="s">
        <v>742</v>
      </c>
      <c r="K27" s="152" t="s">
        <v>742</v>
      </c>
      <c r="L27" s="152"/>
      <c r="M27" s="152"/>
      <c r="N27" s="152"/>
      <c r="O27" s="152" t="s">
        <v>742</v>
      </c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1924</v>
      </c>
      <c r="E28" s="145"/>
      <c r="F28" s="152"/>
      <c r="G28" s="152"/>
      <c r="H28" s="152"/>
      <c r="I28" s="152"/>
      <c r="J28" s="152"/>
      <c r="K28" s="152"/>
      <c r="L28" s="152" t="s">
        <v>742</v>
      </c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1925</v>
      </c>
      <c r="E29" s="145"/>
      <c r="F29" s="152"/>
      <c r="G29" s="152"/>
      <c r="H29" s="152"/>
      <c r="I29" s="152"/>
      <c r="J29" s="152"/>
      <c r="K29" s="152"/>
      <c r="L29" s="152"/>
      <c r="M29" s="152" t="s">
        <v>742</v>
      </c>
      <c r="N29" s="152"/>
      <c r="O29" s="152"/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1898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 t="s">
        <v>742</v>
      </c>
      <c r="O30" s="152"/>
      <c r="P30" s="152"/>
      <c r="Q30" s="152"/>
      <c r="R30" s="152"/>
      <c r="S30" s="152"/>
      <c r="T30" s="153"/>
    </row>
    <row r="31" ht="13.5" customHeight="1">
      <c r="A31" s="148"/>
      <c r="B31" s="149"/>
      <c r="C31" s="150"/>
      <c r="D31" s="151" t="s">
        <v>1926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 t="s">
        <v>742</v>
      </c>
      <c r="Q31" s="152"/>
      <c r="R31" s="152"/>
      <c r="S31" s="152"/>
      <c r="T31" s="153" t="s">
        <v>742</v>
      </c>
    </row>
    <row r="32" ht="13.5" customHeight="1">
      <c r="A32" s="148"/>
      <c r="B32" s="149"/>
      <c r="C32" s="150"/>
      <c r="D32" s="151" t="s">
        <v>1927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 t="s">
        <v>742</v>
      </c>
      <c r="R32" s="152"/>
      <c r="S32" s="152"/>
      <c r="T32" s="153"/>
    </row>
    <row r="33" ht="13.5" customHeight="1">
      <c r="A33" s="148"/>
      <c r="B33" s="149"/>
      <c r="C33" s="150"/>
      <c r="D33" s="151" t="s">
        <v>1928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 t="s">
        <v>742</v>
      </c>
      <c r="S33" s="152"/>
      <c r="T33" s="153"/>
    </row>
    <row r="34" ht="13.5" customHeight="1">
      <c r="A34" s="148"/>
      <c r="B34" s="149"/>
      <c r="C34" s="150"/>
      <c r="D34" s="151" t="s">
        <v>1929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 t="s">
        <v>742</v>
      </c>
      <c r="T34" s="153"/>
    </row>
    <row r="35" ht="13.5" customHeight="1">
      <c r="A35" s="148"/>
      <c r="B35" s="154"/>
      <c r="C35" s="155"/>
      <c r="D35" s="156"/>
      <c r="E35" s="157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9"/>
    </row>
    <row r="36" ht="13.5" customHeight="1">
      <c r="A36" s="160" t="s">
        <v>802</v>
      </c>
      <c r="B36" s="161" t="s">
        <v>804</v>
      </c>
      <c r="C36" s="162"/>
      <c r="D36" s="163"/>
      <c r="E36" s="164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7"/>
    </row>
    <row r="37" ht="13.5" customHeight="1">
      <c r="A37" s="165"/>
      <c r="B37" s="166"/>
      <c r="C37" s="167"/>
      <c r="D37" s="168" t="s">
        <v>1930</v>
      </c>
      <c r="E37" s="169"/>
      <c r="F37" s="152" t="s">
        <v>742</v>
      </c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1931</v>
      </c>
      <c r="E38" s="169"/>
      <c r="F38" s="152"/>
      <c r="G38" s="152" t="s">
        <v>742</v>
      </c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1932</v>
      </c>
      <c r="E39" s="169"/>
      <c r="F39" s="152"/>
      <c r="G39" s="152"/>
      <c r="H39" s="152" t="s">
        <v>742</v>
      </c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1933</v>
      </c>
      <c r="E40" s="169"/>
      <c r="F40" s="152"/>
      <c r="G40" s="152"/>
      <c r="H40" s="152"/>
      <c r="I40" s="152" t="s">
        <v>742</v>
      </c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1934</v>
      </c>
      <c r="E41" s="169"/>
      <c r="F41" s="152"/>
      <c r="G41" s="152"/>
      <c r="H41" s="152"/>
      <c r="I41" s="152"/>
      <c r="J41" s="152" t="s">
        <v>742</v>
      </c>
      <c r="K41" s="152"/>
      <c r="L41" s="152"/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1935</v>
      </c>
      <c r="E42" s="169"/>
      <c r="F42" s="152"/>
      <c r="G42" s="152"/>
      <c r="H42" s="152"/>
      <c r="I42" s="152"/>
      <c r="J42" s="152"/>
      <c r="K42" s="152" t="s">
        <v>742</v>
      </c>
      <c r="L42" s="152"/>
      <c r="M42" s="152"/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1936</v>
      </c>
      <c r="E43" s="169"/>
      <c r="F43" s="152"/>
      <c r="G43" s="152"/>
      <c r="H43" s="152"/>
      <c r="I43" s="152"/>
      <c r="J43" s="152"/>
      <c r="K43" s="152"/>
      <c r="L43" s="152" t="s">
        <v>742</v>
      </c>
      <c r="M43" s="152"/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1937</v>
      </c>
      <c r="E44" s="169"/>
      <c r="F44" s="152"/>
      <c r="G44" s="152"/>
      <c r="H44" s="152"/>
      <c r="I44" s="152"/>
      <c r="J44" s="152"/>
      <c r="K44" s="152"/>
      <c r="L44" s="152"/>
      <c r="M44" s="152" t="s">
        <v>742</v>
      </c>
      <c r="N44" s="152"/>
      <c r="O44" s="152"/>
      <c r="P44" s="152"/>
      <c r="Q44" s="152"/>
      <c r="R44" s="152"/>
      <c r="S44" s="152"/>
      <c r="T44" s="153"/>
    </row>
    <row r="45" ht="13.5" customHeight="1">
      <c r="A45" s="165"/>
      <c r="B45" s="166"/>
      <c r="C45" s="167"/>
      <c r="D45" s="168" t="s">
        <v>1938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 t="s">
        <v>742</v>
      </c>
      <c r="O45" s="152"/>
      <c r="P45" s="152"/>
      <c r="Q45" s="152"/>
      <c r="R45" s="152"/>
      <c r="S45" s="152"/>
      <c r="T45" s="153"/>
    </row>
    <row r="46" ht="13.5" customHeight="1">
      <c r="A46" s="165"/>
      <c r="B46" s="166"/>
      <c r="C46" s="167"/>
      <c r="D46" s="168" t="s">
        <v>1939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 t="s">
        <v>742</v>
      </c>
      <c r="P46" s="152"/>
      <c r="Q46" s="152"/>
      <c r="R46" s="152"/>
      <c r="S46" s="152"/>
      <c r="T46" s="153"/>
    </row>
    <row r="47" ht="13.5" customHeight="1">
      <c r="A47" s="165"/>
      <c r="B47" s="166"/>
      <c r="C47" s="167"/>
      <c r="D47" s="168" t="s">
        <v>1940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 t="s">
        <v>742</v>
      </c>
      <c r="Q47" s="152"/>
      <c r="R47" s="152"/>
      <c r="S47" s="152"/>
      <c r="T47" s="153"/>
    </row>
    <row r="48" ht="13.5" customHeight="1">
      <c r="A48" s="165"/>
      <c r="B48" s="166"/>
      <c r="C48" s="167"/>
      <c r="D48" s="168" t="s">
        <v>1941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3" t="s">
        <v>742</v>
      </c>
    </row>
    <row r="49" ht="13.5" customHeight="1">
      <c r="A49" s="165"/>
      <c r="B49" s="166" t="s">
        <v>825</v>
      </c>
      <c r="C49" s="167"/>
      <c r="D49" s="168"/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3"/>
    </row>
    <row r="50" ht="13.5" customHeight="1">
      <c r="A50" s="165"/>
      <c r="B50" s="166"/>
      <c r="C50" s="167"/>
      <c r="D50" s="168" t="s">
        <v>1942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 t="s">
        <v>742</v>
      </c>
      <c r="R50" s="152"/>
      <c r="S50" s="152"/>
      <c r="T50" s="153"/>
    </row>
    <row r="51" ht="13.5" customHeight="1">
      <c r="A51" s="165"/>
      <c r="B51" s="166"/>
      <c r="C51" s="167"/>
      <c r="D51" s="168" t="s">
        <v>1943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 t="s">
        <v>742</v>
      </c>
      <c r="S51" s="152" t="s">
        <v>742</v>
      </c>
      <c r="T51" s="153"/>
    </row>
    <row r="52" ht="13.5" customHeight="1">
      <c r="A52" s="165"/>
      <c r="B52" s="166" t="s">
        <v>854</v>
      </c>
      <c r="C52" s="167"/>
      <c r="D52" s="168"/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3"/>
    </row>
    <row r="53" ht="13.5" customHeight="1">
      <c r="A53" s="165"/>
      <c r="B53" s="170"/>
      <c r="C53" s="171"/>
      <c r="D53" s="172"/>
      <c r="E53" s="173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5"/>
    </row>
    <row r="54" ht="13.5" customHeight="1">
      <c r="A54" s="160" t="s">
        <v>865</v>
      </c>
      <c r="B54" s="176" t="s">
        <v>866</v>
      </c>
      <c r="C54" s="177"/>
      <c r="D54" s="178"/>
      <c r="E54" s="179"/>
      <c r="F54" s="180" t="s">
        <v>54</v>
      </c>
      <c r="G54" s="180" t="s">
        <v>54</v>
      </c>
      <c r="H54" s="180" t="s">
        <v>54</v>
      </c>
      <c r="I54" s="180" t="s">
        <v>54</v>
      </c>
      <c r="J54" s="180" t="s">
        <v>54</v>
      </c>
      <c r="K54" s="180" t="s">
        <v>57</v>
      </c>
      <c r="L54" s="180" t="s">
        <v>57</v>
      </c>
      <c r="M54" s="180" t="s">
        <v>57</v>
      </c>
      <c r="N54" s="180" t="s">
        <v>54</v>
      </c>
      <c r="O54" s="180" t="s">
        <v>54</v>
      </c>
      <c r="P54" s="180" t="s">
        <v>54</v>
      </c>
      <c r="Q54" s="180" t="s">
        <v>55</v>
      </c>
      <c r="R54" s="180" t="s">
        <v>55</v>
      </c>
      <c r="S54" s="180" t="s">
        <v>55</v>
      </c>
      <c r="T54" s="181" t="s">
        <v>57</v>
      </c>
    </row>
    <row r="55" ht="13.5" customHeight="1">
      <c r="A55" s="165"/>
      <c r="B55" s="182" t="s">
        <v>867</v>
      </c>
      <c r="C55" s="27"/>
      <c r="D55" s="25"/>
      <c r="E55" s="183"/>
      <c r="F55" s="184" t="s">
        <v>868</v>
      </c>
      <c r="G55" s="184" t="s">
        <v>868</v>
      </c>
      <c r="H55" s="184" t="s">
        <v>868</v>
      </c>
      <c r="I55" s="184" t="s">
        <v>868</v>
      </c>
      <c r="J55" s="184" t="s">
        <v>868</v>
      </c>
      <c r="K55" s="184" t="s">
        <v>868</v>
      </c>
      <c r="L55" s="184" t="s">
        <v>868</v>
      </c>
      <c r="M55" s="184" t="s">
        <v>868</v>
      </c>
      <c r="N55" s="184" t="s">
        <v>868</v>
      </c>
      <c r="O55" s="184" t="s">
        <v>868</v>
      </c>
      <c r="P55" s="184" t="s">
        <v>868</v>
      </c>
      <c r="Q55" s="184" t="s">
        <v>868</v>
      </c>
      <c r="R55" s="184" t="s">
        <v>868</v>
      </c>
      <c r="S55" s="184" t="s">
        <v>868</v>
      </c>
      <c r="T55" s="185" t="s">
        <v>868</v>
      </c>
    </row>
    <row r="56" ht="99.75" customHeight="1">
      <c r="A56" s="165"/>
      <c r="B56" s="186" t="s">
        <v>869</v>
      </c>
      <c r="C56" s="27"/>
      <c r="D56" s="25"/>
      <c r="E56" s="169"/>
      <c r="F56" s="187">
        <v>46255.0</v>
      </c>
      <c r="G56" s="187">
        <v>46255.0</v>
      </c>
      <c r="H56" s="187">
        <v>46255.0</v>
      </c>
      <c r="I56" s="187">
        <v>46255.0</v>
      </c>
      <c r="J56" s="187">
        <v>46255.0</v>
      </c>
      <c r="K56" s="187">
        <v>46255.0</v>
      </c>
      <c r="L56" s="187">
        <v>46255.0</v>
      </c>
      <c r="M56" s="187">
        <v>46255.0</v>
      </c>
      <c r="N56" s="187">
        <v>46255.0</v>
      </c>
      <c r="O56" s="187">
        <v>46255.0</v>
      </c>
      <c r="P56" s="187">
        <v>46255.0</v>
      </c>
      <c r="Q56" s="187">
        <v>46255.0</v>
      </c>
      <c r="R56" s="187">
        <v>46255.0</v>
      </c>
      <c r="S56" s="187">
        <v>46255.0</v>
      </c>
      <c r="T56" s="189">
        <v>46255.0</v>
      </c>
    </row>
    <row r="57" ht="72.75" customHeight="1">
      <c r="A57" s="190"/>
      <c r="B57" s="191" t="s">
        <v>870</v>
      </c>
      <c r="C57" s="192"/>
      <c r="D57" s="193"/>
      <c r="E57" s="194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6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54:D54"/>
    <mergeCell ref="B55:D55"/>
    <mergeCell ref="B56:D56"/>
    <mergeCell ref="B57:D57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1" width="3.57"/>
    <col customWidth="1" min="22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ht="13.5" customHeight="1">
      <c r="A2" s="111" t="s">
        <v>707</v>
      </c>
      <c r="B2" s="112"/>
      <c r="C2" s="113" t="s">
        <v>384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343</v>
      </c>
      <c r="M2" s="115"/>
      <c r="N2" s="115"/>
      <c r="O2" s="115"/>
      <c r="P2" s="115"/>
      <c r="Q2" s="115"/>
      <c r="R2" s="115"/>
      <c r="S2" s="115"/>
      <c r="T2" s="115"/>
      <c r="U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  <c r="U3" s="27"/>
    </row>
    <row r="4" ht="13.5" customHeight="1">
      <c r="A4" s="117" t="s">
        <v>711</v>
      </c>
      <c r="B4" s="27"/>
      <c r="C4" s="122">
        <v>274.0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</row>
    <row r="5" ht="13.5" customHeight="1">
      <c r="A5" s="117" t="s">
        <v>713</v>
      </c>
      <c r="B5" s="27"/>
      <c r="C5" s="124" t="s">
        <v>1946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</row>
    <row r="7" ht="13.5" customHeight="1">
      <c r="A7" s="129">
        <f>COUNTIF(F62:U62,"P")</f>
        <v>16</v>
      </c>
      <c r="B7" s="130"/>
      <c r="C7" s="131">
        <f>COUNTIF(F62:U62,"F")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COUNTIF(F61:U61,"N")</f>
        <v>8</v>
      </c>
      <c r="M7" s="132">
        <f>COUNTIF(F61:U61,"A")</f>
        <v>5</v>
      </c>
      <c r="N7" s="132">
        <f>COUNTIF(F61:U61,"B")</f>
        <v>3</v>
      </c>
      <c r="O7" s="133">
        <f>COUNTA(F9:U9)</f>
        <v>16</v>
      </c>
      <c r="P7" s="130"/>
      <c r="Q7" s="130"/>
      <c r="R7" s="130"/>
      <c r="S7" s="130"/>
      <c r="T7" s="130"/>
      <c r="U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40" t="s">
        <v>731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7"/>
    </row>
    <row r="11" ht="13.5" customHeight="1">
      <c r="A11" s="148"/>
      <c r="B11" s="149"/>
      <c r="C11" s="150"/>
      <c r="D11" s="151" t="s">
        <v>1955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3"/>
    </row>
    <row r="12" ht="13.5" customHeight="1">
      <c r="A12" s="148"/>
      <c r="B12" s="149"/>
      <c r="C12" s="150"/>
      <c r="D12" s="151" t="s">
        <v>1958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3"/>
    </row>
    <row r="13" ht="13.5" customHeight="1">
      <c r="A13" s="148"/>
      <c r="B13" s="149"/>
      <c r="C13" s="150"/>
      <c r="D13" s="151" t="s">
        <v>1960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3"/>
    </row>
    <row r="14" ht="13.5" customHeight="1">
      <c r="A14" s="148"/>
      <c r="B14" s="149"/>
      <c r="C14" s="150"/>
      <c r="D14" s="151" t="s">
        <v>1404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3"/>
    </row>
    <row r="15" ht="13.5" customHeight="1">
      <c r="A15" s="148"/>
      <c r="B15" s="149"/>
      <c r="C15" s="150"/>
      <c r="D15" s="151" t="s">
        <v>1964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3"/>
    </row>
    <row r="16" ht="13.5" customHeight="1">
      <c r="A16" s="148"/>
      <c r="B16" s="149"/>
      <c r="C16" s="150"/>
      <c r="D16" s="151" t="s">
        <v>1965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3"/>
    </row>
    <row r="17" ht="13.5" customHeight="1">
      <c r="A17" s="148"/>
      <c r="B17" s="149"/>
      <c r="C17" s="150"/>
      <c r="D17" s="151" t="s">
        <v>1968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 t="s">
        <v>742</v>
      </c>
      <c r="N17" s="152" t="s">
        <v>742</v>
      </c>
      <c r="O17" s="152"/>
      <c r="P17" s="152"/>
      <c r="Q17" s="152"/>
      <c r="R17" s="152"/>
      <c r="S17" s="152"/>
      <c r="T17" s="152"/>
      <c r="U17" s="153"/>
    </row>
    <row r="18" ht="13.5" customHeight="1">
      <c r="A18" s="148"/>
      <c r="B18" s="149"/>
      <c r="C18" s="150"/>
      <c r="D18" s="151" t="s">
        <v>1971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 t="s">
        <v>742</v>
      </c>
      <c r="P18" s="152"/>
      <c r="Q18" s="152"/>
      <c r="R18" s="152"/>
      <c r="S18" s="152"/>
      <c r="T18" s="152"/>
      <c r="U18" s="153"/>
    </row>
    <row r="19" ht="13.5" customHeight="1">
      <c r="A19" s="148"/>
      <c r="B19" s="149"/>
      <c r="C19" s="150"/>
      <c r="D19" s="151" t="s">
        <v>1974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 t="s">
        <v>742</v>
      </c>
      <c r="Q19" s="152"/>
      <c r="R19" s="152"/>
      <c r="S19" s="152"/>
      <c r="T19" s="152"/>
      <c r="U19" s="153"/>
    </row>
    <row r="20" ht="13.5" customHeight="1">
      <c r="A20" s="148"/>
      <c r="B20" s="149"/>
      <c r="C20" s="150"/>
      <c r="D20" s="151" t="s">
        <v>1977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 t="s">
        <v>742</v>
      </c>
      <c r="Q20" s="152"/>
      <c r="R20" s="152"/>
      <c r="S20" s="152"/>
      <c r="T20" s="152"/>
      <c r="U20" s="153"/>
    </row>
    <row r="21" ht="13.5" customHeight="1">
      <c r="A21" s="148"/>
      <c r="B21" s="149"/>
      <c r="C21" s="150"/>
      <c r="D21" s="151" t="s">
        <v>1978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 t="s">
        <v>742</v>
      </c>
      <c r="R21" s="152"/>
      <c r="S21" s="152"/>
      <c r="T21" s="152"/>
      <c r="U21" s="153"/>
    </row>
    <row r="22" ht="13.5" customHeight="1">
      <c r="A22" s="148"/>
      <c r="B22" s="149"/>
      <c r="C22" s="150"/>
      <c r="D22" s="151" t="s">
        <v>1981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 t="s">
        <v>742</v>
      </c>
      <c r="R22" s="152"/>
      <c r="S22" s="152"/>
      <c r="T22" s="152"/>
      <c r="U22" s="153"/>
    </row>
    <row r="23" ht="13.5" customHeight="1">
      <c r="A23" s="148"/>
      <c r="B23" s="149"/>
      <c r="C23" s="150"/>
      <c r="D23" s="151" t="s">
        <v>1455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 t="s">
        <v>742</v>
      </c>
      <c r="S23" s="152" t="s">
        <v>742</v>
      </c>
      <c r="T23" s="152" t="s">
        <v>742</v>
      </c>
      <c r="U23" s="153"/>
    </row>
    <row r="24" ht="13.5" customHeight="1">
      <c r="A24" s="148"/>
      <c r="B24" s="149"/>
      <c r="C24" s="150"/>
      <c r="D24" s="151" t="s">
        <v>1985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3" t="s">
        <v>742</v>
      </c>
    </row>
    <row r="25" ht="13.5" customHeight="1">
      <c r="A25" s="148"/>
      <c r="B25" s="149" t="s">
        <v>768</v>
      </c>
      <c r="C25" s="150"/>
      <c r="D25" s="151"/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3"/>
    </row>
    <row r="26" ht="13.5" customHeight="1">
      <c r="A26" s="148"/>
      <c r="B26" s="149"/>
      <c r="C26" s="150"/>
      <c r="D26" s="151" t="s">
        <v>1990</v>
      </c>
      <c r="E26" s="145"/>
      <c r="F26" s="152" t="s">
        <v>742</v>
      </c>
      <c r="G26" s="152" t="s">
        <v>742</v>
      </c>
      <c r="H26" s="152"/>
      <c r="I26" s="152"/>
      <c r="J26" s="152"/>
      <c r="K26" s="152" t="s">
        <v>742</v>
      </c>
      <c r="L26" s="152"/>
      <c r="M26" s="152"/>
      <c r="N26" s="152"/>
      <c r="O26" s="152"/>
      <c r="P26" s="152"/>
      <c r="Q26" s="152"/>
      <c r="R26" s="152"/>
      <c r="S26" s="152"/>
      <c r="T26" s="152"/>
      <c r="U26" s="153"/>
    </row>
    <row r="27" ht="13.5" customHeight="1">
      <c r="A27" s="148"/>
      <c r="B27" s="149"/>
      <c r="C27" s="150"/>
      <c r="D27" s="151" t="s">
        <v>1994</v>
      </c>
      <c r="E27" s="145"/>
      <c r="F27" s="152"/>
      <c r="G27" s="152"/>
      <c r="H27" s="152" t="s">
        <v>742</v>
      </c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3"/>
    </row>
    <row r="28" ht="13.5" customHeight="1">
      <c r="A28" s="148"/>
      <c r="B28" s="149"/>
      <c r="C28" s="150"/>
      <c r="D28" s="151" t="s">
        <v>1996</v>
      </c>
      <c r="E28" s="145"/>
      <c r="F28" s="152"/>
      <c r="G28" s="152"/>
      <c r="H28" s="152"/>
      <c r="I28" s="152" t="s">
        <v>742</v>
      </c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3"/>
    </row>
    <row r="29" ht="13.5" customHeight="1">
      <c r="A29" s="148"/>
      <c r="B29" s="149"/>
      <c r="C29" s="150"/>
      <c r="D29" s="151" t="s">
        <v>1999</v>
      </c>
      <c r="E29" s="145"/>
      <c r="F29" s="152"/>
      <c r="G29" s="152"/>
      <c r="H29" s="152"/>
      <c r="I29" s="152"/>
      <c r="J29" s="152" t="s">
        <v>742</v>
      </c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3"/>
    </row>
    <row r="30" ht="13.5" customHeight="1">
      <c r="A30" s="148"/>
      <c r="B30" s="149"/>
      <c r="C30" s="150"/>
      <c r="D30" s="151" t="s">
        <v>2000</v>
      </c>
      <c r="E30" s="145"/>
      <c r="F30" s="152"/>
      <c r="G30" s="152"/>
      <c r="H30" s="152"/>
      <c r="I30" s="152"/>
      <c r="J30" s="152"/>
      <c r="K30" s="152"/>
      <c r="L30" s="152" t="s">
        <v>742</v>
      </c>
      <c r="M30" s="152"/>
      <c r="N30" s="152"/>
      <c r="O30" s="152"/>
      <c r="P30" s="152"/>
      <c r="Q30" s="152"/>
      <c r="R30" s="152"/>
      <c r="S30" s="152"/>
      <c r="T30" s="152"/>
      <c r="U30" s="153"/>
    </row>
    <row r="31" ht="13.5" customHeight="1">
      <c r="A31" s="148"/>
      <c r="B31" s="149"/>
      <c r="C31" s="150"/>
      <c r="D31" s="151" t="s">
        <v>2002</v>
      </c>
      <c r="E31" s="145"/>
      <c r="F31" s="152"/>
      <c r="G31" s="152"/>
      <c r="H31" s="152"/>
      <c r="I31" s="152"/>
      <c r="J31" s="152"/>
      <c r="K31" s="152"/>
      <c r="L31" s="152"/>
      <c r="M31" s="152" t="s">
        <v>742</v>
      </c>
      <c r="N31" s="152"/>
      <c r="O31" s="152"/>
      <c r="P31" s="152"/>
      <c r="Q31" s="152"/>
      <c r="R31" s="152"/>
      <c r="S31" s="152"/>
      <c r="T31" s="152"/>
      <c r="U31" s="153"/>
    </row>
    <row r="32" ht="13.5" customHeight="1">
      <c r="A32" s="148"/>
      <c r="B32" s="149"/>
      <c r="C32" s="150"/>
      <c r="D32" s="151" t="s">
        <v>2004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 t="s">
        <v>742</v>
      </c>
      <c r="O32" s="152"/>
      <c r="P32" s="152"/>
      <c r="Q32" s="152"/>
      <c r="R32" s="152"/>
      <c r="S32" s="152"/>
      <c r="T32" s="152"/>
      <c r="U32" s="153"/>
    </row>
    <row r="33" ht="13.5" customHeight="1">
      <c r="A33" s="148"/>
      <c r="B33" s="149"/>
      <c r="C33" s="150"/>
      <c r="D33" s="151" t="s">
        <v>2006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 t="s">
        <v>742</v>
      </c>
      <c r="P33" s="152"/>
      <c r="Q33" s="152"/>
      <c r="R33" s="152"/>
      <c r="S33" s="152"/>
      <c r="T33" s="152"/>
      <c r="U33" s="153"/>
    </row>
    <row r="34" ht="13.5" customHeight="1">
      <c r="A34" s="148"/>
      <c r="B34" s="149"/>
      <c r="C34" s="150"/>
      <c r="D34" s="151" t="s">
        <v>2010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 t="s">
        <v>742</v>
      </c>
      <c r="Q34" s="152"/>
      <c r="R34" s="152"/>
      <c r="S34" s="152"/>
      <c r="T34" s="152"/>
      <c r="U34" s="153"/>
    </row>
    <row r="35" ht="13.5" customHeight="1">
      <c r="A35" s="148"/>
      <c r="B35" s="149"/>
      <c r="C35" s="150"/>
      <c r="D35" s="151" t="s">
        <v>2014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 t="s">
        <v>742</v>
      </c>
      <c r="R35" s="152"/>
      <c r="S35" s="152"/>
      <c r="T35" s="152"/>
      <c r="U35" s="153"/>
    </row>
    <row r="36" ht="13.5" customHeight="1">
      <c r="A36" s="148"/>
      <c r="B36" s="149"/>
      <c r="C36" s="150"/>
      <c r="D36" s="151" t="s">
        <v>2017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 t="s">
        <v>742</v>
      </c>
      <c r="S36" s="152"/>
      <c r="T36" s="152"/>
      <c r="U36" s="153"/>
    </row>
    <row r="37" ht="13.5" customHeight="1">
      <c r="A37" s="148"/>
      <c r="B37" s="149"/>
      <c r="C37" s="150"/>
      <c r="D37" s="151" t="s">
        <v>1488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 t="s">
        <v>742</v>
      </c>
      <c r="T37" s="152"/>
      <c r="U37" s="153"/>
    </row>
    <row r="38" ht="13.5" customHeight="1">
      <c r="A38" s="148"/>
      <c r="B38" s="149"/>
      <c r="C38" s="150"/>
      <c r="D38" s="151" t="s">
        <v>1595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 t="s">
        <v>742</v>
      </c>
      <c r="U38" s="153"/>
    </row>
    <row r="39" ht="13.5" customHeight="1">
      <c r="A39" s="148"/>
      <c r="B39" s="149"/>
      <c r="C39" s="150"/>
      <c r="D39" s="151" t="s">
        <v>2025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3" t="s">
        <v>742</v>
      </c>
    </row>
    <row r="40" ht="13.5" customHeight="1">
      <c r="A40" s="148"/>
      <c r="B40" s="154"/>
      <c r="C40" s="155"/>
      <c r="D40" s="156"/>
      <c r="E40" s="157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9"/>
    </row>
    <row r="41" ht="13.5" customHeight="1">
      <c r="A41" s="160" t="s">
        <v>802</v>
      </c>
      <c r="B41" s="161" t="s">
        <v>804</v>
      </c>
      <c r="C41" s="162"/>
      <c r="D41" s="163"/>
      <c r="E41" s="164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7"/>
    </row>
    <row r="42" ht="13.5" customHeight="1">
      <c r="A42" s="165"/>
      <c r="B42" s="166"/>
      <c r="C42" s="167"/>
      <c r="D42" s="168" t="s">
        <v>2036</v>
      </c>
      <c r="E42" s="169"/>
      <c r="F42" s="152" t="s">
        <v>742</v>
      </c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3"/>
    </row>
    <row r="43" ht="13.5" customHeight="1">
      <c r="A43" s="165"/>
      <c r="B43" s="166"/>
      <c r="C43" s="167"/>
      <c r="D43" s="168" t="s">
        <v>2037</v>
      </c>
      <c r="E43" s="169"/>
      <c r="F43" s="152"/>
      <c r="G43" s="152" t="s">
        <v>742</v>
      </c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3"/>
    </row>
    <row r="44" ht="13.5" customHeight="1">
      <c r="A44" s="165"/>
      <c r="B44" s="166"/>
      <c r="C44" s="167"/>
      <c r="D44" s="168" t="s">
        <v>2039</v>
      </c>
      <c r="E44" s="169"/>
      <c r="F44" s="152"/>
      <c r="G44" s="152"/>
      <c r="H44" s="152"/>
      <c r="I44" s="152"/>
      <c r="J44" s="152"/>
      <c r="K44" s="152"/>
      <c r="L44" s="152" t="s">
        <v>742</v>
      </c>
      <c r="M44" s="152"/>
      <c r="N44" s="152"/>
      <c r="O44" s="152"/>
      <c r="P44" s="152"/>
      <c r="Q44" s="152"/>
      <c r="R44" s="152"/>
      <c r="S44" s="152"/>
      <c r="T44" s="152"/>
      <c r="U44" s="153"/>
    </row>
    <row r="45" ht="13.5" customHeight="1">
      <c r="A45" s="165"/>
      <c r="B45" s="166"/>
      <c r="C45" s="167"/>
      <c r="D45" s="168" t="s">
        <v>2041</v>
      </c>
      <c r="E45" s="169"/>
      <c r="F45" s="152"/>
      <c r="G45" s="152"/>
      <c r="H45" s="152"/>
      <c r="I45" s="152"/>
      <c r="J45" s="152"/>
      <c r="K45" s="152"/>
      <c r="L45" s="152"/>
      <c r="M45" s="152" t="s">
        <v>742</v>
      </c>
      <c r="N45" s="152"/>
      <c r="O45" s="152"/>
      <c r="P45" s="152"/>
      <c r="Q45" s="152"/>
      <c r="R45" s="152"/>
      <c r="S45" s="152"/>
      <c r="T45" s="152"/>
      <c r="U45" s="153"/>
    </row>
    <row r="46" ht="13.5" customHeight="1">
      <c r="A46" s="165"/>
      <c r="B46" s="166"/>
      <c r="C46" s="167"/>
      <c r="D46" s="168" t="s">
        <v>2042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 t="s">
        <v>742</v>
      </c>
      <c r="O46" s="152"/>
      <c r="P46" s="152"/>
      <c r="Q46" s="152"/>
      <c r="R46" s="152"/>
      <c r="S46" s="152"/>
      <c r="T46" s="152"/>
      <c r="U46" s="153"/>
    </row>
    <row r="47" ht="13.5" customHeight="1">
      <c r="A47" s="165"/>
      <c r="B47" s="166"/>
      <c r="C47" s="167"/>
      <c r="D47" s="168" t="s">
        <v>2043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 t="s">
        <v>742</v>
      </c>
      <c r="P47" s="152"/>
      <c r="Q47" s="152"/>
      <c r="R47" s="152"/>
      <c r="S47" s="152"/>
      <c r="T47" s="152"/>
      <c r="U47" s="153"/>
    </row>
    <row r="48" ht="13.5" customHeight="1">
      <c r="A48" s="165"/>
      <c r="B48" s="166"/>
      <c r="C48" s="167"/>
      <c r="D48" s="168" t="s">
        <v>2045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 t="s">
        <v>742</v>
      </c>
      <c r="Q48" s="152"/>
      <c r="R48" s="152"/>
      <c r="S48" s="152"/>
      <c r="T48" s="152"/>
      <c r="U48" s="153"/>
    </row>
    <row r="49" ht="13.5" customHeight="1">
      <c r="A49" s="165"/>
      <c r="B49" s="166"/>
      <c r="C49" s="167"/>
      <c r="D49" s="168" t="s">
        <v>2047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 t="s">
        <v>742</v>
      </c>
      <c r="R49" s="152"/>
      <c r="S49" s="152"/>
      <c r="T49" s="152"/>
      <c r="U49" s="153"/>
    </row>
    <row r="50" ht="13.5" customHeight="1">
      <c r="A50" s="165"/>
      <c r="B50" s="166"/>
      <c r="C50" s="167"/>
      <c r="D50" s="168" t="s">
        <v>2049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3" t="s">
        <v>742</v>
      </c>
    </row>
    <row r="51" ht="13.5" customHeight="1">
      <c r="A51" s="165"/>
      <c r="B51" s="166" t="s">
        <v>825</v>
      </c>
      <c r="C51" s="167"/>
      <c r="D51" s="168"/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3"/>
    </row>
    <row r="52" ht="13.5" customHeight="1">
      <c r="A52" s="165"/>
      <c r="B52" s="166"/>
      <c r="C52" s="167"/>
      <c r="D52" s="168" t="s">
        <v>2051</v>
      </c>
      <c r="E52" s="169"/>
      <c r="F52" s="152"/>
      <c r="G52" s="152"/>
      <c r="H52" s="152" t="s">
        <v>742</v>
      </c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3"/>
    </row>
    <row r="53" ht="13.5" customHeight="1">
      <c r="A53" s="165"/>
      <c r="B53" s="166"/>
      <c r="C53" s="167"/>
      <c r="D53" s="168" t="s">
        <v>2053</v>
      </c>
      <c r="E53" s="169"/>
      <c r="F53" s="152"/>
      <c r="G53" s="152"/>
      <c r="H53" s="152"/>
      <c r="I53" s="152" t="s">
        <v>742</v>
      </c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3"/>
    </row>
    <row r="54" ht="13.5" customHeight="1">
      <c r="A54" s="165"/>
      <c r="B54" s="166"/>
      <c r="C54" s="167"/>
      <c r="D54" s="168" t="s">
        <v>1524</v>
      </c>
      <c r="E54" s="169"/>
      <c r="F54" s="152"/>
      <c r="G54" s="152"/>
      <c r="H54" s="152"/>
      <c r="I54" s="152"/>
      <c r="J54" s="152" t="s">
        <v>742</v>
      </c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3"/>
    </row>
    <row r="55" ht="13.5" customHeight="1">
      <c r="A55" s="165"/>
      <c r="B55" s="166"/>
      <c r="C55" s="167"/>
      <c r="D55" s="168" t="s">
        <v>2055</v>
      </c>
      <c r="E55" s="169"/>
      <c r="F55" s="152"/>
      <c r="G55" s="152"/>
      <c r="H55" s="152"/>
      <c r="I55" s="152"/>
      <c r="J55" s="152"/>
      <c r="K55" s="152" t="s">
        <v>742</v>
      </c>
      <c r="L55" s="152"/>
      <c r="M55" s="152"/>
      <c r="N55" s="152"/>
      <c r="O55" s="152"/>
      <c r="P55" s="152"/>
      <c r="Q55" s="152"/>
      <c r="R55" s="152"/>
      <c r="S55" s="152"/>
      <c r="T55" s="152"/>
      <c r="U55" s="153"/>
    </row>
    <row r="56" ht="13.5" customHeight="1">
      <c r="A56" s="165"/>
      <c r="B56" s="166"/>
      <c r="C56" s="167"/>
      <c r="D56" s="168" t="s">
        <v>1475</v>
      </c>
      <c r="E56" s="16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 t="s">
        <v>742</v>
      </c>
      <c r="S56" s="152"/>
      <c r="T56" s="152"/>
      <c r="U56" s="153"/>
    </row>
    <row r="57" ht="13.5" customHeight="1">
      <c r="A57" s="165"/>
      <c r="B57" s="166"/>
      <c r="C57" s="167"/>
      <c r="D57" s="168" t="s">
        <v>1522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 t="s">
        <v>742</v>
      </c>
      <c r="T57" s="152"/>
      <c r="U57" s="153"/>
    </row>
    <row r="58" ht="13.5" customHeight="1">
      <c r="A58" s="165"/>
      <c r="B58" s="166"/>
      <c r="C58" s="167"/>
      <c r="D58" s="168" t="s">
        <v>1523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 t="s">
        <v>742</v>
      </c>
      <c r="U58" s="153"/>
    </row>
    <row r="59" ht="13.5" customHeight="1">
      <c r="A59" s="165"/>
      <c r="B59" s="166" t="s">
        <v>854</v>
      </c>
      <c r="C59" s="167"/>
      <c r="D59" s="168"/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3"/>
    </row>
    <row r="60" ht="13.5" customHeight="1">
      <c r="A60" s="165"/>
      <c r="B60" s="170"/>
      <c r="C60" s="171"/>
      <c r="D60" s="172"/>
      <c r="E60" s="173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5"/>
    </row>
    <row r="61" ht="13.5" customHeight="1">
      <c r="A61" s="160" t="s">
        <v>865</v>
      </c>
      <c r="B61" s="176" t="s">
        <v>866</v>
      </c>
      <c r="C61" s="177"/>
      <c r="D61" s="178"/>
      <c r="E61" s="179"/>
      <c r="F61" s="180" t="s">
        <v>54</v>
      </c>
      <c r="G61" s="180" t="s">
        <v>54</v>
      </c>
      <c r="H61" s="180" t="s">
        <v>55</v>
      </c>
      <c r="I61" s="180" t="s">
        <v>55</v>
      </c>
      <c r="J61" s="180" t="s">
        <v>55</v>
      </c>
      <c r="K61" s="180" t="s">
        <v>55</v>
      </c>
      <c r="L61" s="180" t="s">
        <v>54</v>
      </c>
      <c r="M61" s="180" t="s">
        <v>57</v>
      </c>
      <c r="N61" s="180" t="s">
        <v>54</v>
      </c>
      <c r="O61" s="180" t="s">
        <v>54</v>
      </c>
      <c r="P61" s="180" t="s">
        <v>54</v>
      </c>
      <c r="Q61" s="180" t="s">
        <v>54</v>
      </c>
      <c r="R61" s="180" t="s">
        <v>55</v>
      </c>
      <c r="S61" s="180" t="s">
        <v>57</v>
      </c>
      <c r="T61" s="180" t="s">
        <v>57</v>
      </c>
      <c r="U61" s="181" t="s">
        <v>54</v>
      </c>
    </row>
    <row r="62" ht="13.5" customHeight="1">
      <c r="A62" s="165"/>
      <c r="B62" s="182" t="s">
        <v>867</v>
      </c>
      <c r="C62" s="27"/>
      <c r="D62" s="25"/>
      <c r="E62" s="183"/>
      <c r="F62" s="184" t="s">
        <v>868</v>
      </c>
      <c r="G62" s="184" t="s">
        <v>868</v>
      </c>
      <c r="H62" s="184" t="s">
        <v>868</v>
      </c>
      <c r="I62" s="184" t="s">
        <v>868</v>
      </c>
      <c r="J62" s="184" t="s">
        <v>868</v>
      </c>
      <c r="K62" s="184" t="s">
        <v>868</v>
      </c>
      <c r="L62" s="184" t="s">
        <v>868</v>
      </c>
      <c r="M62" s="184" t="s">
        <v>868</v>
      </c>
      <c r="N62" s="184" t="s">
        <v>868</v>
      </c>
      <c r="O62" s="184" t="s">
        <v>868</v>
      </c>
      <c r="P62" s="184" t="s">
        <v>868</v>
      </c>
      <c r="Q62" s="184" t="s">
        <v>868</v>
      </c>
      <c r="R62" s="184" t="s">
        <v>868</v>
      </c>
      <c r="S62" s="184" t="s">
        <v>868</v>
      </c>
      <c r="T62" s="184" t="s">
        <v>868</v>
      </c>
      <c r="U62" s="185" t="s">
        <v>868</v>
      </c>
    </row>
    <row r="63" ht="99.75" customHeight="1">
      <c r="A63" s="165"/>
      <c r="B63" s="186" t="s">
        <v>869</v>
      </c>
      <c r="C63" s="27"/>
      <c r="D63" s="25"/>
      <c r="E63" s="169"/>
      <c r="F63" s="187">
        <v>46266.0</v>
      </c>
      <c r="G63" s="187">
        <v>46266.0</v>
      </c>
      <c r="H63" s="187">
        <v>46266.0</v>
      </c>
      <c r="I63" s="187">
        <v>46266.0</v>
      </c>
      <c r="J63" s="187">
        <v>46266.0</v>
      </c>
      <c r="K63" s="187">
        <v>46266.0</v>
      </c>
      <c r="L63" s="187">
        <v>46266.0</v>
      </c>
      <c r="M63" s="187">
        <v>46266.0</v>
      </c>
      <c r="N63" s="187">
        <v>46266.0</v>
      </c>
      <c r="O63" s="187">
        <v>46266.0</v>
      </c>
      <c r="P63" s="187">
        <v>46266.0</v>
      </c>
      <c r="Q63" s="187">
        <v>46266.0</v>
      </c>
      <c r="R63" s="187">
        <v>46266.0</v>
      </c>
      <c r="S63" s="187">
        <v>46266.0</v>
      </c>
      <c r="T63" s="187">
        <v>46266.0</v>
      </c>
      <c r="U63" s="189">
        <v>46266.0</v>
      </c>
    </row>
    <row r="64" ht="72.75" customHeight="1">
      <c r="A64" s="190"/>
      <c r="B64" s="191" t="s">
        <v>870</v>
      </c>
      <c r="C64" s="192"/>
      <c r="D64" s="193"/>
      <c r="E64" s="194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6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U2"/>
    <mergeCell ref="C3:E3"/>
    <mergeCell ref="F3:K3"/>
    <mergeCell ref="L3:U3"/>
    <mergeCell ref="A3:B3"/>
    <mergeCell ref="A4:B4"/>
    <mergeCell ref="C4:D4"/>
    <mergeCell ref="F4:K4"/>
    <mergeCell ref="L4:U4"/>
    <mergeCell ref="A5:B5"/>
    <mergeCell ref="C5:U5"/>
    <mergeCell ref="O6:U6"/>
    <mergeCell ref="O7:U7"/>
    <mergeCell ref="B61:D61"/>
    <mergeCell ref="B62:D62"/>
    <mergeCell ref="B63:D63"/>
    <mergeCell ref="B64:D64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2" width="3.57"/>
    <col customWidth="1" min="23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 ht="13.5" customHeight="1">
      <c r="A2" s="111" t="s">
        <v>707</v>
      </c>
      <c r="B2" s="112"/>
      <c r="C2" s="113" t="s">
        <v>392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355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  <c r="U3" s="27"/>
      <c r="V3" s="27"/>
    </row>
    <row r="4" ht="13.5" customHeight="1">
      <c r="A4" s="117" t="s">
        <v>711</v>
      </c>
      <c r="B4" s="27"/>
      <c r="C4" s="122">
        <v>61.0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</row>
    <row r="5" ht="13.5" customHeight="1">
      <c r="A5" s="117" t="s">
        <v>713</v>
      </c>
      <c r="B5" s="27"/>
      <c r="C5" s="124" t="s">
        <v>1944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</row>
    <row r="7" ht="13.5" customHeight="1">
      <c r="A7" s="129">
        <f>COUNTIF(F62:V62,"P")</f>
        <v>17</v>
      </c>
      <c r="B7" s="130"/>
      <c r="C7" s="131">
        <f>COUNTIF(F62:V62,"F")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COUNTIF(F61:V61,"N")</f>
        <v>10</v>
      </c>
      <c r="M7" s="132">
        <f>COUNTIF(F61:V61,"A")</f>
        <v>3</v>
      </c>
      <c r="N7" s="132">
        <f>COUNTIF(F61:V61,"B")</f>
        <v>4</v>
      </c>
      <c r="O7" s="133">
        <f>COUNTA(F9:V9)</f>
        <v>17</v>
      </c>
      <c r="P7" s="130"/>
      <c r="Q7" s="130"/>
      <c r="R7" s="130"/>
      <c r="S7" s="130"/>
      <c r="T7" s="130"/>
      <c r="U7" s="130"/>
      <c r="V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40" t="s">
        <v>732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7"/>
    </row>
    <row r="11" ht="13.5" customHeight="1">
      <c r="A11" s="148"/>
      <c r="B11" s="149"/>
      <c r="C11" s="150"/>
      <c r="D11" s="151" t="s">
        <v>1947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3"/>
    </row>
    <row r="12" ht="13.5" customHeight="1">
      <c r="A12" s="148"/>
      <c r="B12" s="149"/>
      <c r="C12" s="150"/>
      <c r="D12" s="151" t="s">
        <v>1949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 t="s">
        <v>742</v>
      </c>
      <c r="N12" s="152" t="s">
        <v>742</v>
      </c>
      <c r="O12" s="152"/>
      <c r="P12" s="152"/>
      <c r="Q12" s="152"/>
      <c r="R12" s="152"/>
      <c r="S12" s="152"/>
      <c r="T12" s="152"/>
      <c r="U12" s="152"/>
      <c r="V12" s="153"/>
    </row>
    <row r="13" ht="13.5" customHeight="1">
      <c r="A13" s="148"/>
      <c r="B13" s="149"/>
      <c r="C13" s="150"/>
      <c r="D13" s="151" t="s">
        <v>1455</v>
      </c>
      <c r="E13" s="145"/>
      <c r="F13" s="152"/>
      <c r="G13" s="152"/>
      <c r="H13" s="152" t="s">
        <v>742</v>
      </c>
      <c r="I13" s="152" t="s">
        <v>742</v>
      </c>
      <c r="J13" s="152" t="s">
        <v>742</v>
      </c>
      <c r="K13" s="152" t="s">
        <v>742</v>
      </c>
      <c r="L13" s="152" t="s">
        <v>742</v>
      </c>
      <c r="M13" s="152"/>
      <c r="N13" s="152"/>
      <c r="O13" s="152" t="s">
        <v>742</v>
      </c>
      <c r="P13" s="152"/>
      <c r="Q13" s="152"/>
      <c r="R13" s="152"/>
      <c r="S13" s="152"/>
      <c r="T13" s="152"/>
      <c r="U13" s="152"/>
      <c r="V13" s="153"/>
    </row>
    <row r="14" ht="13.5" customHeight="1">
      <c r="A14" s="148"/>
      <c r="B14" s="149"/>
      <c r="C14" s="150"/>
      <c r="D14" s="151" t="s">
        <v>1950</v>
      </c>
      <c r="E14" s="145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 t="s">
        <v>742</v>
      </c>
      <c r="Q14" s="152"/>
      <c r="R14" s="152"/>
      <c r="S14" s="152"/>
      <c r="T14" s="152"/>
      <c r="U14" s="152"/>
      <c r="V14" s="153"/>
    </row>
    <row r="15" ht="13.5" customHeight="1">
      <c r="A15" s="148"/>
      <c r="B15" s="149"/>
      <c r="C15" s="150"/>
      <c r="D15" s="151" t="s">
        <v>1952</v>
      </c>
      <c r="E15" s="145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 t="s">
        <v>742</v>
      </c>
      <c r="R15" s="152"/>
      <c r="S15" s="152"/>
      <c r="T15" s="152"/>
      <c r="U15" s="152"/>
      <c r="V15" s="153"/>
    </row>
    <row r="16" ht="13.5" customHeight="1">
      <c r="A16" s="148"/>
      <c r="B16" s="149"/>
      <c r="C16" s="150"/>
      <c r="D16" s="151" t="s">
        <v>1953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 t="s">
        <v>742</v>
      </c>
      <c r="S16" s="152"/>
      <c r="T16" s="152"/>
      <c r="U16" s="152"/>
      <c r="V16" s="153"/>
    </row>
    <row r="17" ht="13.5" customHeight="1">
      <c r="A17" s="148"/>
      <c r="B17" s="149"/>
      <c r="C17" s="150"/>
      <c r="D17" s="151" t="s">
        <v>1956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 t="s">
        <v>742</v>
      </c>
      <c r="T17" s="152"/>
      <c r="U17" s="152"/>
      <c r="V17" s="153"/>
    </row>
    <row r="18" ht="13.5" customHeight="1">
      <c r="A18" s="148"/>
      <c r="B18" s="149"/>
      <c r="C18" s="150"/>
      <c r="D18" s="151" t="s">
        <v>1957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 t="s">
        <v>742</v>
      </c>
      <c r="U18" s="152"/>
      <c r="V18" s="153"/>
    </row>
    <row r="19" ht="13.5" customHeight="1">
      <c r="A19" s="148"/>
      <c r="B19" s="149"/>
      <c r="C19" s="150"/>
      <c r="D19" s="151" t="s">
        <v>1959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 t="s">
        <v>742</v>
      </c>
      <c r="V19" s="153"/>
    </row>
    <row r="20" ht="13.5" customHeight="1">
      <c r="A20" s="148"/>
      <c r="B20" s="149"/>
      <c r="C20" s="150"/>
      <c r="D20" s="151" t="s">
        <v>1961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3" t="s">
        <v>742</v>
      </c>
    </row>
    <row r="21" ht="13.5" customHeight="1">
      <c r="A21" s="148"/>
      <c r="B21" s="149" t="s">
        <v>768</v>
      </c>
      <c r="C21" s="150"/>
      <c r="D21" s="151"/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3"/>
    </row>
    <row r="22" ht="13.5" customHeight="1">
      <c r="A22" s="148"/>
      <c r="B22" s="149"/>
      <c r="C22" s="150"/>
      <c r="D22" s="151" t="s">
        <v>1966</v>
      </c>
      <c r="E22" s="145"/>
      <c r="F22" s="152" t="s">
        <v>742</v>
      </c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</row>
    <row r="23" ht="13.5" customHeight="1">
      <c r="A23" s="148"/>
      <c r="B23" s="149"/>
      <c r="C23" s="150"/>
      <c r="D23" s="151" t="s">
        <v>1969</v>
      </c>
      <c r="E23" s="145"/>
      <c r="F23" s="152"/>
      <c r="G23" s="152" t="s">
        <v>742</v>
      </c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3"/>
    </row>
    <row r="24" ht="13.5" customHeight="1">
      <c r="A24" s="148"/>
      <c r="B24" s="149"/>
      <c r="C24" s="150"/>
      <c r="D24" s="151" t="s">
        <v>1970</v>
      </c>
      <c r="E24" s="145"/>
      <c r="F24" s="152"/>
      <c r="G24" s="152"/>
      <c r="H24" s="152" t="s">
        <v>742</v>
      </c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3"/>
    </row>
    <row r="25" ht="13.5" customHeight="1">
      <c r="A25" s="148"/>
      <c r="B25" s="149"/>
      <c r="C25" s="150"/>
      <c r="D25" s="151" t="s">
        <v>1973</v>
      </c>
      <c r="E25" s="145"/>
      <c r="F25" s="152"/>
      <c r="G25" s="152"/>
      <c r="H25" s="152"/>
      <c r="I25" s="152" t="s">
        <v>742</v>
      </c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3"/>
    </row>
    <row r="26" ht="13.5" customHeight="1">
      <c r="A26" s="148"/>
      <c r="B26" s="149"/>
      <c r="C26" s="150"/>
      <c r="D26" s="151" t="s">
        <v>1975</v>
      </c>
      <c r="E26" s="145"/>
      <c r="F26" s="152"/>
      <c r="G26" s="152"/>
      <c r="H26" s="152"/>
      <c r="I26" s="152"/>
      <c r="J26" s="152" t="s">
        <v>742</v>
      </c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3"/>
    </row>
    <row r="27" ht="13.5" customHeight="1">
      <c r="A27" s="148"/>
      <c r="B27" s="149"/>
      <c r="C27" s="150"/>
      <c r="D27" s="151" t="s">
        <v>1488</v>
      </c>
      <c r="E27" s="145"/>
      <c r="F27" s="152"/>
      <c r="G27" s="152"/>
      <c r="H27" s="152"/>
      <c r="I27" s="152"/>
      <c r="J27" s="152"/>
      <c r="K27" s="152" t="s">
        <v>742</v>
      </c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3"/>
    </row>
    <row r="28" ht="13.5" customHeight="1">
      <c r="A28" s="148"/>
      <c r="B28" s="149"/>
      <c r="C28" s="150"/>
      <c r="D28" s="151" t="s">
        <v>1595</v>
      </c>
      <c r="E28" s="145"/>
      <c r="F28" s="152"/>
      <c r="G28" s="152"/>
      <c r="H28" s="152"/>
      <c r="I28" s="152"/>
      <c r="J28" s="152"/>
      <c r="K28" s="152"/>
      <c r="L28" s="152" t="s">
        <v>742</v>
      </c>
      <c r="M28" s="152"/>
      <c r="N28" s="152"/>
      <c r="O28" s="152"/>
      <c r="P28" s="152"/>
      <c r="Q28" s="152"/>
      <c r="R28" s="152"/>
      <c r="S28" s="152"/>
      <c r="T28" s="152"/>
      <c r="U28" s="152"/>
      <c r="V28" s="153"/>
    </row>
    <row r="29" ht="13.5" customHeight="1">
      <c r="A29" s="148"/>
      <c r="B29" s="149"/>
      <c r="C29" s="150"/>
      <c r="D29" s="151" t="s">
        <v>1980</v>
      </c>
      <c r="E29" s="145"/>
      <c r="F29" s="152"/>
      <c r="G29" s="152"/>
      <c r="H29" s="152"/>
      <c r="I29" s="152"/>
      <c r="J29" s="152"/>
      <c r="K29" s="152"/>
      <c r="L29" s="152"/>
      <c r="M29" s="152" t="s">
        <v>742</v>
      </c>
      <c r="N29" s="152"/>
      <c r="O29" s="152"/>
      <c r="P29" s="152"/>
      <c r="Q29" s="152"/>
      <c r="R29" s="152"/>
      <c r="S29" s="152"/>
      <c r="T29" s="152"/>
      <c r="U29" s="152"/>
      <c r="V29" s="153"/>
    </row>
    <row r="30" ht="13.5" customHeight="1">
      <c r="A30" s="148"/>
      <c r="B30" s="149"/>
      <c r="C30" s="150"/>
      <c r="D30" s="151" t="s">
        <v>1982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 t="s">
        <v>742</v>
      </c>
      <c r="O30" s="152"/>
      <c r="P30" s="152"/>
      <c r="Q30" s="152"/>
      <c r="R30" s="152"/>
      <c r="S30" s="152"/>
      <c r="T30" s="152"/>
      <c r="U30" s="152"/>
      <c r="V30" s="153"/>
    </row>
    <row r="31" ht="13.5" customHeight="1">
      <c r="A31" s="148"/>
      <c r="B31" s="149"/>
      <c r="C31" s="150"/>
      <c r="D31" s="151" t="s">
        <v>1984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 t="s">
        <v>742</v>
      </c>
      <c r="P31" s="152"/>
      <c r="Q31" s="152"/>
      <c r="R31" s="152"/>
      <c r="S31" s="152"/>
      <c r="T31" s="152"/>
      <c r="U31" s="152"/>
      <c r="V31" s="153"/>
    </row>
    <row r="32" ht="13.5" customHeight="1">
      <c r="A32" s="148"/>
      <c r="B32" s="149"/>
      <c r="C32" s="150"/>
      <c r="D32" s="151" t="s">
        <v>1986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 t="s">
        <v>742</v>
      </c>
      <c r="Q32" s="152"/>
      <c r="R32" s="152"/>
      <c r="S32" s="152"/>
      <c r="T32" s="152"/>
      <c r="U32" s="152"/>
      <c r="V32" s="153"/>
    </row>
    <row r="33" ht="13.5" customHeight="1">
      <c r="A33" s="148"/>
      <c r="B33" s="149"/>
      <c r="C33" s="150"/>
      <c r="D33" s="151" t="s">
        <v>1988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 t="s">
        <v>742</v>
      </c>
      <c r="R33" s="152"/>
      <c r="S33" s="152"/>
      <c r="T33" s="152"/>
      <c r="U33" s="152"/>
      <c r="V33" s="153"/>
    </row>
    <row r="34" ht="13.5" customHeight="1">
      <c r="A34" s="148"/>
      <c r="B34" s="149"/>
      <c r="C34" s="150"/>
      <c r="D34" s="151" t="s">
        <v>1989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 t="s">
        <v>742</v>
      </c>
      <c r="S34" s="152"/>
      <c r="T34" s="152"/>
      <c r="U34" s="152"/>
      <c r="V34" s="153"/>
    </row>
    <row r="35" ht="13.5" customHeight="1">
      <c r="A35" s="148"/>
      <c r="B35" s="149"/>
      <c r="C35" s="150"/>
      <c r="D35" s="151" t="s">
        <v>1992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 t="s">
        <v>742</v>
      </c>
      <c r="T35" s="152"/>
      <c r="U35" s="152"/>
      <c r="V35" s="153"/>
    </row>
    <row r="36" ht="13.5" customHeight="1">
      <c r="A36" s="148"/>
      <c r="B36" s="149"/>
      <c r="C36" s="150"/>
      <c r="D36" s="151" t="s">
        <v>1026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 t="s">
        <v>742</v>
      </c>
      <c r="U36" s="152"/>
      <c r="V36" s="153"/>
    </row>
    <row r="37" ht="13.5" customHeight="1">
      <c r="A37" s="148"/>
      <c r="B37" s="149"/>
      <c r="C37" s="150"/>
      <c r="D37" s="151" t="s">
        <v>1997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 t="s">
        <v>742</v>
      </c>
      <c r="V37" s="153"/>
    </row>
    <row r="38" ht="13.5" customHeight="1">
      <c r="A38" s="148"/>
      <c r="B38" s="149"/>
      <c r="C38" s="150"/>
      <c r="D38" s="151" t="s">
        <v>1038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3" t="s">
        <v>742</v>
      </c>
    </row>
    <row r="39" ht="13.5" customHeight="1">
      <c r="A39" s="148"/>
      <c r="B39" s="154"/>
      <c r="C39" s="155"/>
      <c r="D39" s="156"/>
      <c r="E39" s="157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9"/>
    </row>
    <row r="40" ht="13.5" customHeight="1">
      <c r="A40" s="160" t="s">
        <v>802</v>
      </c>
      <c r="B40" s="161" t="s">
        <v>804</v>
      </c>
      <c r="C40" s="162"/>
      <c r="D40" s="163"/>
      <c r="E40" s="164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7"/>
    </row>
    <row r="41" ht="13.5" customHeight="1">
      <c r="A41" s="165"/>
      <c r="B41" s="166"/>
      <c r="C41" s="167"/>
      <c r="D41" s="168" t="s">
        <v>2008</v>
      </c>
      <c r="E41" s="169"/>
      <c r="F41" s="152" t="s">
        <v>742</v>
      </c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3"/>
    </row>
    <row r="42" ht="13.5" customHeight="1">
      <c r="A42" s="165"/>
      <c r="B42" s="166"/>
      <c r="C42" s="167"/>
      <c r="D42" s="168" t="s">
        <v>2011</v>
      </c>
      <c r="E42" s="169"/>
      <c r="F42" s="152"/>
      <c r="G42" s="152" t="s">
        <v>742</v>
      </c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3"/>
    </row>
    <row r="43" ht="13.5" customHeight="1">
      <c r="A43" s="165"/>
      <c r="B43" s="166"/>
      <c r="C43" s="167"/>
      <c r="D43" s="168" t="s">
        <v>2013</v>
      </c>
      <c r="E43" s="169"/>
      <c r="F43" s="152"/>
      <c r="G43" s="152"/>
      <c r="H43" s="152" t="s">
        <v>742</v>
      </c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3"/>
    </row>
    <row r="44" ht="13.5" customHeight="1">
      <c r="A44" s="165"/>
      <c r="B44" s="166"/>
      <c r="C44" s="167"/>
      <c r="D44" s="168" t="s">
        <v>2016</v>
      </c>
      <c r="E44" s="169"/>
      <c r="F44" s="152"/>
      <c r="G44" s="152"/>
      <c r="H44" s="152"/>
      <c r="I44" s="152" t="s">
        <v>742</v>
      </c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3"/>
    </row>
    <row r="45" ht="13.5" customHeight="1">
      <c r="A45" s="165"/>
      <c r="B45" s="166"/>
      <c r="C45" s="167"/>
      <c r="D45" s="168" t="s">
        <v>2018</v>
      </c>
      <c r="E45" s="169"/>
      <c r="F45" s="152"/>
      <c r="G45" s="152"/>
      <c r="H45" s="152"/>
      <c r="I45" s="152"/>
      <c r="J45" s="152"/>
      <c r="K45" s="152"/>
      <c r="L45" s="152"/>
      <c r="M45" s="152" t="s">
        <v>742</v>
      </c>
      <c r="N45" s="152"/>
      <c r="O45" s="152"/>
      <c r="P45" s="152"/>
      <c r="Q45" s="152"/>
      <c r="R45" s="152"/>
      <c r="S45" s="152"/>
      <c r="T45" s="152"/>
      <c r="U45" s="152"/>
      <c r="V45" s="153"/>
    </row>
    <row r="46" ht="13.5" customHeight="1">
      <c r="A46" s="165"/>
      <c r="B46" s="166"/>
      <c r="C46" s="167"/>
      <c r="D46" s="168" t="s">
        <v>2020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 t="s">
        <v>742</v>
      </c>
      <c r="O46" s="152"/>
      <c r="P46" s="152"/>
      <c r="Q46" s="152"/>
      <c r="R46" s="152"/>
      <c r="S46" s="152"/>
      <c r="T46" s="152"/>
      <c r="U46" s="152"/>
      <c r="V46" s="153"/>
    </row>
    <row r="47" ht="13.5" customHeight="1">
      <c r="A47" s="165"/>
      <c r="B47" s="166"/>
      <c r="C47" s="167"/>
      <c r="D47" s="168" t="s">
        <v>2021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 t="s">
        <v>742</v>
      </c>
      <c r="Q47" s="152"/>
      <c r="R47" s="152"/>
      <c r="S47" s="152"/>
      <c r="T47" s="152"/>
      <c r="U47" s="152"/>
      <c r="V47" s="153"/>
    </row>
    <row r="48" ht="13.5" customHeight="1">
      <c r="A48" s="165"/>
      <c r="B48" s="166"/>
      <c r="C48" s="167"/>
      <c r="D48" s="168" t="s">
        <v>2023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 t="s">
        <v>742</v>
      </c>
      <c r="R48" s="152"/>
      <c r="S48" s="152"/>
      <c r="T48" s="152"/>
      <c r="U48" s="152"/>
      <c r="V48" s="153"/>
    </row>
    <row r="49" ht="13.5" customHeight="1">
      <c r="A49" s="165"/>
      <c r="B49" s="166"/>
      <c r="C49" s="167"/>
      <c r="D49" s="168" t="s">
        <v>2024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 t="s">
        <v>742</v>
      </c>
      <c r="S49" s="152"/>
      <c r="T49" s="152"/>
      <c r="U49" s="152"/>
      <c r="V49" s="153"/>
    </row>
    <row r="50" ht="13.5" customHeight="1">
      <c r="A50" s="165"/>
      <c r="B50" s="166"/>
      <c r="C50" s="167"/>
      <c r="D50" s="168" t="s">
        <v>2026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 t="s">
        <v>742</v>
      </c>
      <c r="T50" s="152"/>
      <c r="U50" s="152"/>
      <c r="V50" s="153"/>
    </row>
    <row r="51" ht="13.5" customHeight="1">
      <c r="A51" s="165"/>
      <c r="B51" s="166"/>
      <c r="C51" s="167"/>
      <c r="D51" s="168" t="s">
        <v>2027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 t="s">
        <v>742</v>
      </c>
      <c r="V51" s="153"/>
    </row>
    <row r="52" ht="13.5" customHeight="1">
      <c r="A52" s="165"/>
      <c r="B52" s="166"/>
      <c r="C52" s="167"/>
      <c r="D52" s="168" t="s">
        <v>2028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3" t="s">
        <v>742</v>
      </c>
    </row>
    <row r="53" ht="13.5" customHeight="1">
      <c r="A53" s="165"/>
      <c r="B53" s="166" t="s">
        <v>825</v>
      </c>
      <c r="C53" s="167"/>
      <c r="D53" s="168"/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3"/>
    </row>
    <row r="54" ht="13.5" customHeight="1">
      <c r="A54" s="165"/>
      <c r="B54" s="166"/>
      <c r="C54" s="167"/>
      <c r="D54" s="168" t="s">
        <v>2030</v>
      </c>
      <c r="E54" s="169"/>
      <c r="F54" s="152"/>
      <c r="G54" s="152"/>
      <c r="H54" s="152"/>
      <c r="I54" s="152"/>
      <c r="J54" s="152" t="s">
        <v>742</v>
      </c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3"/>
    </row>
    <row r="55" ht="13.5" customHeight="1">
      <c r="A55" s="165"/>
      <c r="B55" s="166"/>
      <c r="C55" s="167"/>
      <c r="D55" s="168" t="s">
        <v>1522</v>
      </c>
      <c r="E55" s="169"/>
      <c r="F55" s="152"/>
      <c r="G55" s="152"/>
      <c r="H55" s="152"/>
      <c r="I55" s="152"/>
      <c r="J55" s="152"/>
      <c r="K55" s="152" t="s">
        <v>742</v>
      </c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3"/>
    </row>
    <row r="56" ht="13.5" customHeight="1">
      <c r="A56" s="165"/>
      <c r="B56" s="166"/>
      <c r="C56" s="167"/>
      <c r="D56" s="168" t="s">
        <v>1523</v>
      </c>
      <c r="E56" s="169"/>
      <c r="F56" s="152"/>
      <c r="G56" s="152"/>
      <c r="H56" s="152"/>
      <c r="I56" s="152"/>
      <c r="J56" s="152"/>
      <c r="K56" s="152"/>
      <c r="L56" s="152" t="s">
        <v>742</v>
      </c>
      <c r="M56" s="152"/>
      <c r="N56" s="152"/>
      <c r="O56" s="152"/>
      <c r="P56" s="152"/>
      <c r="Q56" s="152"/>
      <c r="R56" s="152"/>
      <c r="S56" s="152"/>
      <c r="T56" s="152"/>
      <c r="U56" s="152"/>
      <c r="V56" s="153"/>
    </row>
    <row r="57" ht="13.5" customHeight="1">
      <c r="A57" s="165"/>
      <c r="B57" s="166"/>
      <c r="C57" s="167"/>
      <c r="D57" s="168" t="s">
        <v>2033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/>
      <c r="O57" s="152" t="s">
        <v>742</v>
      </c>
      <c r="P57" s="152"/>
      <c r="Q57" s="152"/>
      <c r="R57" s="152"/>
      <c r="S57" s="152"/>
      <c r="T57" s="152"/>
      <c r="U57" s="152"/>
      <c r="V57" s="153"/>
    </row>
    <row r="58" ht="13.5" customHeight="1">
      <c r="A58" s="165"/>
      <c r="B58" s="166"/>
      <c r="C58" s="167"/>
      <c r="D58" s="168" t="s">
        <v>2035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 t="s">
        <v>742</v>
      </c>
      <c r="U58" s="152"/>
      <c r="V58" s="153"/>
    </row>
    <row r="59" ht="13.5" customHeight="1">
      <c r="A59" s="165"/>
      <c r="B59" s="166" t="s">
        <v>854</v>
      </c>
      <c r="C59" s="167"/>
      <c r="D59" s="168"/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3"/>
    </row>
    <row r="60" ht="13.5" customHeight="1">
      <c r="A60" s="165"/>
      <c r="B60" s="170"/>
      <c r="C60" s="171"/>
      <c r="D60" s="172"/>
      <c r="E60" s="173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5"/>
    </row>
    <row r="61" ht="13.5" customHeight="1">
      <c r="A61" s="160" t="s">
        <v>865</v>
      </c>
      <c r="B61" s="176" t="s">
        <v>866</v>
      </c>
      <c r="C61" s="177"/>
      <c r="D61" s="178"/>
      <c r="E61" s="179"/>
      <c r="F61" s="180" t="s">
        <v>54</v>
      </c>
      <c r="G61" s="180" t="s">
        <v>54</v>
      </c>
      <c r="H61" s="180" t="s">
        <v>57</v>
      </c>
      <c r="I61" s="180" t="s">
        <v>57</v>
      </c>
      <c r="J61" s="180" t="s">
        <v>57</v>
      </c>
      <c r="K61" s="180" t="s">
        <v>55</v>
      </c>
      <c r="L61" s="180" t="s">
        <v>57</v>
      </c>
      <c r="M61" s="180" t="s">
        <v>54</v>
      </c>
      <c r="N61" s="180" t="s">
        <v>54</v>
      </c>
      <c r="O61" s="180" t="s">
        <v>55</v>
      </c>
      <c r="P61" s="180" t="s">
        <v>54</v>
      </c>
      <c r="Q61" s="180" t="s">
        <v>54</v>
      </c>
      <c r="R61" s="180" t="s">
        <v>54</v>
      </c>
      <c r="S61" s="180" t="s">
        <v>54</v>
      </c>
      <c r="T61" s="180" t="s">
        <v>55</v>
      </c>
      <c r="U61" s="180" t="s">
        <v>54</v>
      </c>
      <c r="V61" s="181" t="s">
        <v>54</v>
      </c>
    </row>
    <row r="62" ht="13.5" customHeight="1">
      <c r="A62" s="165"/>
      <c r="B62" s="182" t="s">
        <v>867</v>
      </c>
      <c r="C62" s="27"/>
      <c r="D62" s="25"/>
      <c r="E62" s="183"/>
      <c r="F62" s="184" t="s">
        <v>868</v>
      </c>
      <c r="G62" s="184" t="s">
        <v>868</v>
      </c>
      <c r="H62" s="184" t="s">
        <v>868</v>
      </c>
      <c r="I62" s="184" t="s">
        <v>868</v>
      </c>
      <c r="J62" s="184" t="s">
        <v>868</v>
      </c>
      <c r="K62" s="184" t="s">
        <v>868</v>
      </c>
      <c r="L62" s="184" t="s">
        <v>868</v>
      </c>
      <c r="M62" s="184" t="s">
        <v>868</v>
      </c>
      <c r="N62" s="184" t="s">
        <v>868</v>
      </c>
      <c r="O62" s="184" t="s">
        <v>868</v>
      </c>
      <c r="P62" s="184" t="s">
        <v>868</v>
      </c>
      <c r="Q62" s="184" t="s">
        <v>868</v>
      </c>
      <c r="R62" s="184" t="s">
        <v>868</v>
      </c>
      <c r="S62" s="184" t="s">
        <v>868</v>
      </c>
      <c r="T62" s="184" t="s">
        <v>868</v>
      </c>
      <c r="U62" s="184" t="s">
        <v>868</v>
      </c>
      <c r="V62" s="185" t="s">
        <v>868</v>
      </c>
    </row>
    <row r="63" ht="99.75" customHeight="1">
      <c r="A63" s="165"/>
      <c r="B63" s="186" t="s">
        <v>869</v>
      </c>
      <c r="C63" s="27"/>
      <c r="D63" s="25"/>
      <c r="E63" s="169"/>
      <c r="F63" s="187">
        <v>46266.0</v>
      </c>
      <c r="G63" s="187">
        <v>46266.0</v>
      </c>
      <c r="H63" s="187">
        <v>46266.0</v>
      </c>
      <c r="I63" s="187">
        <v>46266.0</v>
      </c>
      <c r="J63" s="187">
        <v>46266.0</v>
      </c>
      <c r="K63" s="187">
        <v>46266.0</v>
      </c>
      <c r="L63" s="187">
        <v>46266.0</v>
      </c>
      <c r="M63" s="187">
        <v>46266.0</v>
      </c>
      <c r="N63" s="187">
        <v>46266.0</v>
      </c>
      <c r="O63" s="187">
        <v>46266.0</v>
      </c>
      <c r="P63" s="187">
        <v>46266.0</v>
      </c>
      <c r="Q63" s="187">
        <v>46266.0</v>
      </c>
      <c r="R63" s="187">
        <v>46266.0</v>
      </c>
      <c r="S63" s="187">
        <v>46266.0</v>
      </c>
      <c r="T63" s="187">
        <v>46266.0</v>
      </c>
      <c r="U63" s="187">
        <v>46266.0</v>
      </c>
      <c r="V63" s="189">
        <v>46266.0</v>
      </c>
    </row>
    <row r="64" ht="72.75" customHeight="1">
      <c r="A64" s="190"/>
      <c r="B64" s="191" t="s">
        <v>870</v>
      </c>
      <c r="C64" s="192"/>
      <c r="D64" s="193"/>
      <c r="E64" s="194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6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V4"/>
    <mergeCell ref="C5:V5"/>
    <mergeCell ref="A2:B2"/>
    <mergeCell ref="C2:E2"/>
    <mergeCell ref="F2:K2"/>
    <mergeCell ref="L2:V2"/>
    <mergeCell ref="C3:E3"/>
    <mergeCell ref="F3:K3"/>
    <mergeCell ref="L3:V3"/>
    <mergeCell ref="F6:K6"/>
    <mergeCell ref="L6:N6"/>
    <mergeCell ref="O6:V6"/>
    <mergeCell ref="A7:B7"/>
    <mergeCell ref="C7:E7"/>
    <mergeCell ref="F7:K7"/>
    <mergeCell ref="O7:V7"/>
    <mergeCell ref="B61:D61"/>
    <mergeCell ref="B62:D62"/>
    <mergeCell ref="B63:D63"/>
    <mergeCell ref="B64:D64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6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3.5" customHeight="1">
      <c r="A2" s="111" t="s">
        <v>707</v>
      </c>
      <c r="B2" s="112"/>
      <c r="C2" s="113" t="s">
        <v>400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362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3.5" customHeight="1">
      <c r="A4" s="117" t="s">
        <v>711</v>
      </c>
      <c r="B4" s="27"/>
      <c r="C4" s="122">
        <v>82.0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3.5" customHeight="1">
      <c r="A5" s="117" t="s">
        <v>713</v>
      </c>
      <c r="B5" s="27"/>
      <c r="C5" s="124" t="s">
        <v>1945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3.5" customHeight="1">
      <c r="A7" s="129">
        <f>COUNTIF(F69:Z69,"P")</f>
        <v>21</v>
      </c>
      <c r="B7" s="130"/>
      <c r="C7" s="131">
        <f>COUNTIF(F69:Z69,"F")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COUNTIF(F68:Z68,"N")</f>
        <v>5</v>
      </c>
      <c r="M7" s="132">
        <f>COUNTIF(F68:Z68,"A")</f>
        <v>11</v>
      </c>
      <c r="N7" s="132">
        <f>COUNTIF(F68:Z68,"B")</f>
        <v>5</v>
      </c>
      <c r="O7" s="133">
        <f>COUNTA(F9:Z9)</f>
        <v>21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40" t="s">
        <v>736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7"/>
    </row>
    <row r="11" ht="13.5" customHeight="1">
      <c r="A11" s="148"/>
      <c r="B11" s="149"/>
      <c r="C11" s="150"/>
      <c r="D11" s="151" t="s">
        <v>1401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3"/>
    </row>
    <row r="12" ht="13.5" customHeight="1">
      <c r="A12" s="148"/>
      <c r="B12" s="149"/>
      <c r="C12" s="150"/>
      <c r="D12" s="151" t="s">
        <v>1948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3"/>
    </row>
    <row r="13" ht="13.5" customHeight="1">
      <c r="A13" s="148"/>
      <c r="B13" s="149"/>
      <c r="C13" s="150"/>
      <c r="D13" s="151" t="s">
        <v>1190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3"/>
    </row>
    <row r="14" ht="13.5" customHeight="1">
      <c r="A14" s="148"/>
      <c r="B14" s="149"/>
      <c r="C14" s="150"/>
      <c r="D14" s="151" t="s">
        <v>1404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3"/>
    </row>
    <row r="15" ht="13.5" customHeight="1">
      <c r="A15" s="148"/>
      <c r="B15" s="149"/>
      <c r="C15" s="150"/>
      <c r="D15" s="151" t="s">
        <v>1951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3"/>
    </row>
    <row r="16" ht="13.5" customHeight="1">
      <c r="A16" s="148"/>
      <c r="B16" s="149"/>
      <c r="C16" s="150"/>
      <c r="D16" s="151" t="s">
        <v>1954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3"/>
    </row>
    <row r="17" ht="13.5" customHeight="1">
      <c r="A17" s="148"/>
      <c r="B17" s="149"/>
      <c r="C17" s="150"/>
      <c r="D17" s="151" t="s">
        <v>1405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3"/>
    </row>
    <row r="18" ht="13.5" customHeight="1">
      <c r="A18" s="148"/>
      <c r="B18" s="149"/>
      <c r="C18" s="150"/>
      <c r="D18" s="151" t="s">
        <v>1455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 t="s">
        <v>742</v>
      </c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3"/>
    </row>
    <row r="19" ht="13.5" customHeight="1">
      <c r="A19" s="148"/>
      <c r="B19" s="149"/>
      <c r="C19" s="150"/>
      <c r="D19" s="151" t="s">
        <v>1962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 t="s">
        <v>742</v>
      </c>
      <c r="P19" s="152" t="s">
        <v>742</v>
      </c>
      <c r="Q19" s="152" t="s">
        <v>742</v>
      </c>
      <c r="R19" s="152" t="s">
        <v>742</v>
      </c>
      <c r="S19" s="152" t="s">
        <v>742</v>
      </c>
      <c r="T19" s="152"/>
      <c r="U19" s="152"/>
      <c r="V19" s="152"/>
      <c r="W19" s="152"/>
      <c r="X19" s="152"/>
      <c r="Y19" s="152"/>
      <c r="Z19" s="153"/>
    </row>
    <row r="20" ht="13.5" customHeight="1">
      <c r="A20" s="148"/>
      <c r="B20" s="149"/>
      <c r="C20" s="150"/>
      <c r="D20" s="151" t="s">
        <v>1963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 t="s">
        <v>742</v>
      </c>
      <c r="U20" s="152"/>
      <c r="V20" s="152"/>
      <c r="W20" s="152"/>
      <c r="X20" s="152" t="s">
        <v>742</v>
      </c>
      <c r="Y20" s="152"/>
      <c r="Z20" s="153"/>
    </row>
    <row r="21" ht="13.5" customHeight="1">
      <c r="A21" s="148"/>
      <c r="B21" s="149"/>
      <c r="C21" s="150"/>
      <c r="D21" s="151" t="s">
        <v>1967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 t="s">
        <v>742</v>
      </c>
      <c r="V21" s="152"/>
      <c r="W21" s="152"/>
      <c r="X21" s="152"/>
      <c r="Y21" s="152" t="s">
        <v>742</v>
      </c>
      <c r="Z21" s="153"/>
    </row>
    <row r="22" ht="13.5" customHeight="1">
      <c r="A22" s="148"/>
      <c r="B22" s="149"/>
      <c r="C22" s="150"/>
      <c r="D22" s="151" t="s">
        <v>1957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 t="s">
        <v>742</v>
      </c>
      <c r="W22" s="152"/>
      <c r="X22" s="152"/>
      <c r="Y22" s="152"/>
      <c r="Z22" s="153"/>
    </row>
    <row r="23" ht="13.5" customHeight="1">
      <c r="A23" s="148"/>
      <c r="B23" s="149"/>
      <c r="C23" s="150"/>
      <c r="D23" s="151" t="s">
        <v>1972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 t="s">
        <v>742</v>
      </c>
      <c r="X23" s="152"/>
      <c r="Y23" s="152"/>
      <c r="Z23" s="153"/>
    </row>
    <row r="24" ht="13.5" customHeight="1">
      <c r="A24" s="148"/>
      <c r="B24" s="149"/>
      <c r="C24" s="150"/>
      <c r="D24" s="151" t="s">
        <v>1976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3" t="s">
        <v>742</v>
      </c>
    </row>
    <row r="25" ht="13.5" customHeight="1">
      <c r="A25" s="148"/>
      <c r="B25" s="149" t="s">
        <v>768</v>
      </c>
      <c r="C25" s="150"/>
      <c r="D25" s="151"/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3"/>
    </row>
    <row r="26" ht="13.5" customHeight="1">
      <c r="A26" s="148"/>
      <c r="B26" s="149"/>
      <c r="C26" s="150"/>
      <c r="D26" s="151" t="s">
        <v>1979</v>
      </c>
      <c r="E26" s="145"/>
      <c r="F26" s="152" t="s">
        <v>742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3"/>
    </row>
    <row r="27" ht="13.5" customHeight="1">
      <c r="A27" s="148"/>
      <c r="B27" s="149"/>
      <c r="C27" s="150"/>
      <c r="D27" s="151" t="s">
        <v>1983</v>
      </c>
      <c r="E27" s="145"/>
      <c r="F27" s="152"/>
      <c r="G27" s="152" t="s">
        <v>742</v>
      </c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3"/>
    </row>
    <row r="28" ht="13.5" customHeight="1">
      <c r="A28" s="148"/>
      <c r="B28" s="149"/>
      <c r="C28" s="150"/>
      <c r="D28" s="151" t="s">
        <v>1095</v>
      </c>
      <c r="E28" s="145"/>
      <c r="F28" s="152"/>
      <c r="G28" s="152"/>
      <c r="H28" s="152" t="s">
        <v>742</v>
      </c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3"/>
    </row>
    <row r="29" ht="13.5" customHeight="1">
      <c r="A29" s="148"/>
      <c r="B29" s="149"/>
      <c r="C29" s="150"/>
      <c r="D29" s="151" t="s">
        <v>1987</v>
      </c>
      <c r="E29" s="145"/>
      <c r="F29" s="152"/>
      <c r="G29" s="152"/>
      <c r="H29" s="152"/>
      <c r="I29" s="152" t="s">
        <v>742</v>
      </c>
      <c r="J29" s="152"/>
      <c r="K29" s="152"/>
      <c r="L29" s="152" t="s">
        <v>742</v>
      </c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3"/>
    </row>
    <row r="30" ht="13.5" customHeight="1">
      <c r="A30" s="148"/>
      <c r="B30" s="149"/>
      <c r="C30" s="150"/>
      <c r="D30" s="151" t="s">
        <v>1991</v>
      </c>
      <c r="E30" s="145"/>
      <c r="F30" s="152"/>
      <c r="G30" s="152"/>
      <c r="H30" s="152"/>
      <c r="I30" s="152"/>
      <c r="J30" s="152" t="s">
        <v>742</v>
      </c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3"/>
    </row>
    <row r="31" ht="13.5" customHeight="1">
      <c r="A31" s="148"/>
      <c r="B31" s="149"/>
      <c r="C31" s="150"/>
      <c r="D31" s="151" t="s">
        <v>1993</v>
      </c>
      <c r="E31" s="145"/>
      <c r="F31" s="152"/>
      <c r="G31" s="152"/>
      <c r="H31" s="152"/>
      <c r="I31" s="152"/>
      <c r="J31" s="152"/>
      <c r="K31" s="152" t="s">
        <v>742</v>
      </c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3"/>
    </row>
    <row r="32" ht="13.5" customHeight="1">
      <c r="A32" s="148"/>
      <c r="B32" s="149"/>
      <c r="C32" s="150"/>
      <c r="D32" s="151" t="s">
        <v>1995</v>
      </c>
      <c r="E32" s="145"/>
      <c r="F32" s="152"/>
      <c r="G32" s="152"/>
      <c r="H32" s="152"/>
      <c r="I32" s="152"/>
      <c r="J32" s="152"/>
      <c r="K32" s="152"/>
      <c r="L32" s="152"/>
      <c r="M32" s="152" t="s">
        <v>742</v>
      </c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3"/>
    </row>
    <row r="33" ht="13.5" customHeight="1">
      <c r="A33" s="148"/>
      <c r="B33" s="149"/>
      <c r="C33" s="150"/>
      <c r="D33" s="151" t="s">
        <v>1998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 t="s">
        <v>742</v>
      </c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3"/>
    </row>
    <row r="34" ht="13.5" customHeight="1">
      <c r="A34" s="148"/>
      <c r="B34" s="149"/>
      <c r="C34" s="150"/>
      <c r="D34" s="151" t="s">
        <v>2001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 t="s">
        <v>742</v>
      </c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3"/>
    </row>
    <row r="35" ht="13.5" customHeight="1">
      <c r="A35" s="148"/>
      <c r="B35" s="149"/>
      <c r="C35" s="150"/>
      <c r="D35" s="151" t="s">
        <v>2003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 t="s">
        <v>742</v>
      </c>
      <c r="Q35" s="152"/>
      <c r="R35" s="152"/>
      <c r="S35" s="152"/>
      <c r="T35" s="152"/>
      <c r="U35" s="152"/>
      <c r="V35" s="152"/>
      <c r="W35" s="152"/>
      <c r="X35" s="152"/>
      <c r="Y35" s="152"/>
      <c r="Z35" s="153"/>
    </row>
    <row r="36" ht="13.5" customHeight="1">
      <c r="A36" s="148"/>
      <c r="B36" s="149"/>
      <c r="C36" s="150"/>
      <c r="D36" s="151" t="s">
        <v>2005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 t="s">
        <v>742</v>
      </c>
      <c r="R36" s="152"/>
      <c r="S36" s="152"/>
      <c r="T36" s="152"/>
      <c r="U36" s="152"/>
      <c r="V36" s="152"/>
      <c r="W36" s="152"/>
      <c r="X36" s="152"/>
      <c r="Y36" s="152"/>
      <c r="Z36" s="153"/>
    </row>
    <row r="37" ht="13.5" customHeight="1">
      <c r="A37" s="148"/>
      <c r="B37" s="149"/>
      <c r="C37" s="150"/>
      <c r="D37" s="151" t="s">
        <v>2007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 t="s">
        <v>742</v>
      </c>
      <c r="S37" s="152"/>
      <c r="T37" s="152"/>
      <c r="U37" s="152"/>
      <c r="V37" s="152"/>
      <c r="W37" s="152"/>
      <c r="X37" s="152"/>
      <c r="Y37" s="152"/>
      <c r="Z37" s="153"/>
    </row>
    <row r="38" ht="13.5" customHeight="1">
      <c r="A38" s="148"/>
      <c r="B38" s="149"/>
      <c r="C38" s="150"/>
      <c r="D38" s="151" t="s">
        <v>2009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 t="s">
        <v>742</v>
      </c>
      <c r="T38" s="152"/>
      <c r="U38" s="152"/>
      <c r="V38" s="152"/>
      <c r="W38" s="152"/>
      <c r="X38" s="152"/>
      <c r="Y38" s="152"/>
      <c r="Z38" s="153"/>
    </row>
    <row r="39" ht="13.5" customHeight="1">
      <c r="A39" s="148"/>
      <c r="B39" s="149"/>
      <c r="C39" s="150"/>
      <c r="D39" s="151" t="s">
        <v>2012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 t="s">
        <v>742</v>
      </c>
      <c r="U39" s="152"/>
      <c r="V39" s="152"/>
      <c r="W39" s="152"/>
      <c r="X39" s="152"/>
      <c r="Y39" s="152"/>
      <c r="Z39" s="153"/>
    </row>
    <row r="40" ht="13.5" customHeight="1">
      <c r="A40" s="148"/>
      <c r="B40" s="149"/>
      <c r="C40" s="150"/>
      <c r="D40" s="151" t="s">
        <v>2015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 t="s">
        <v>742</v>
      </c>
      <c r="V40" s="152"/>
      <c r="W40" s="152"/>
      <c r="X40" s="152"/>
      <c r="Y40" s="152" t="s">
        <v>742</v>
      </c>
      <c r="Z40" s="153"/>
    </row>
    <row r="41" ht="13.5" customHeight="1">
      <c r="A41" s="148"/>
      <c r="B41" s="149"/>
      <c r="C41" s="150"/>
      <c r="D41" s="151" t="s">
        <v>1026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 t="s">
        <v>742</v>
      </c>
      <c r="W41" s="152"/>
      <c r="X41" s="152"/>
      <c r="Y41" s="152"/>
      <c r="Z41" s="153" t="s">
        <v>742</v>
      </c>
    </row>
    <row r="42" ht="13.5" customHeight="1">
      <c r="A42" s="148"/>
      <c r="B42" s="149"/>
      <c r="C42" s="150"/>
      <c r="D42" s="151" t="s">
        <v>2019</v>
      </c>
      <c r="E42" s="145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 t="s">
        <v>742</v>
      </c>
      <c r="X42" s="152"/>
      <c r="Y42" s="152"/>
      <c r="Z42" s="153"/>
    </row>
    <row r="43" ht="13.5" customHeight="1">
      <c r="A43" s="148"/>
      <c r="B43" s="149"/>
      <c r="C43" s="150"/>
      <c r="D43" s="151" t="s">
        <v>2022</v>
      </c>
      <c r="E43" s="145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 t="s">
        <v>742</v>
      </c>
      <c r="Y43" s="152"/>
      <c r="Z43" s="153"/>
    </row>
    <row r="44" ht="13.5" customHeight="1">
      <c r="A44" s="148"/>
      <c r="B44" s="154"/>
      <c r="C44" s="155"/>
      <c r="D44" s="156"/>
      <c r="E44" s="157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9"/>
    </row>
    <row r="45" ht="13.5" customHeight="1">
      <c r="A45" s="160" t="s">
        <v>802</v>
      </c>
      <c r="B45" s="161" t="s">
        <v>804</v>
      </c>
      <c r="C45" s="162"/>
      <c r="D45" s="163"/>
      <c r="E45" s="164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7"/>
    </row>
    <row r="46" ht="13.5" customHeight="1">
      <c r="A46" s="165"/>
      <c r="B46" s="166"/>
      <c r="C46" s="167"/>
      <c r="D46" s="168" t="s">
        <v>2029</v>
      </c>
      <c r="E46" s="169"/>
      <c r="F46" s="152" t="s">
        <v>742</v>
      </c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3"/>
    </row>
    <row r="47" ht="13.5" customHeight="1">
      <c r="A47" s="165"/>
      <c r="B47" s="166"/>
      <c r="C47" s="167"/>
      <c r="D47" s="168" t="s">
        <v>2031</v>
      </c>
      <c r="E47" s="169"/>
      <c r="F47" s="152"/>
      <c r="G47" s="152" t="s">
        <v>742</v>
      </c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3"/>
    </row>
    <row r="48" ht="13.5" customHeight="1">
      <c r="A48" s="165"/>
      <c r="B48" s="166"/>
      <c r="C48" s="167"/>
      <c r="D48" s="168" t="s">
        <v>2032</v>
      </c>
      <c r="E48" s="169"/>
      <c r="F48" s="152"/>
      <c r="G48" s="152"/>
      <c r="H48" s="152"/>
      <c r="I48" s="152"/>
      <c r="J48" s="152"/>
      <c r="K48" s="152"/>
      <c r="L48" s="152"/>
      <c r="M48" s="152" t="s">
        <v>742</v>
      </c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3"/>
    </row>
    <row r="49" ht="13.5" customHeight="1">
      <c r="A49" s="165"/>
      <c r="B49" s="166"/>
      <c r="C49" s="167"/>
      <c r="D49" s="168" t="s">
        <v>2034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 t="s">
        <v>742</v>
      </c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3"/>
    </row>
    <row r="50" ht="13.5" customHeight="1">
      <c r="A50" s="165"/>
      <c r="B50" s="166"/>
      <c r="C50" s="167"/>
      <c r="D50" s="168" t="s">
        <v>817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 t="s">
        <v>742</v>
      </c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3"/>
    </row>
    <row r="51" ht="13.5" customHeight="1">
      <c r="A51" s="165"/>
      <c r="B51" s="166"/>
      <c r="C51" s="167"/>
      <c r="D51" s="168" t="s">
        <v>2038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 t="s">
        <v>742</v>
      </c>
      <c r="U51" s="152"/>
      <c r="V51" s="152"/>
      <c r="W51" s="152"/>
      <c r="X51" s="152"/>
      <c r="Y51" s="152"/>
      <c r="Z51" s="153"/>
    </row>
    <row r="52" ht="13.5" customHeight="1">
      <c r="A52" s="165"/>
      <c r="B52" s="166"/>
      <c r="C52" s="167"/>
      <c r="D52" s="168" t="s">
        <v>2040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 t="s">
        <v>742</v>
      </c>
      <c r="Y52" s="152"/>
      <c r="Z52" s="153"/>
    </row>
    <row r="53" ht="13.5" customHeight="1">
      <c r="A53" s="165"/>
      <c r="B53" s="166" t="s">
        <v>825</v>
      </c>
      <c r="C53" s="167"/>
      <c r="D53" s="168"/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3"/>
    </row>
    <row r="54" ht="13.5" customHeight="1">
      <c r="A54" s="165"/>
      <c r="B54" s="166"/>
      <c r="C54" s="167"/>
      <c r="D54" s="168" t="s">
        <v>1466</v>
      </c>
      <c r="E54" s="169"/>
      <c r="F54" s="152"/>
      <c r="G54" s="152"/>
      <c r="H54" s="152" t="s">
        <v>742</v>
      </c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3"/>
    </row>
    <row r="55" ht="13.5" customHeight="1">
      <c r="A55" s="165"/>
      <c r="B55" s="166"/>
      <c r="C55" s="167"/>
      <c r="D55" s="168" t="s">
        <v>2044</v>
      </c>
      <c r="E55" s="169"/>
      <c r="F55" s="152"/>
      <c r="G55" s="152"/>
      <c r="H55" s="152"/>
      <c r="I55" s="152" t="s">
        <v>742</v>
      </c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3"/>
    </row>
    <row r="56" ht="13.5" customHeight="1">
      <c r="A56" s="165"/>
      <c r="B56" s="166"/>
      <c r="C56" s="167"/>
      <c r="D56" s="168" t="s">
        <v>2046</v>
      </c>
      <c r="E56" s="169"/>
      <c r="F56" s="152"/>
      <c r="G56" s="152"/>
      <c r="H56" s="152"/>
      <c r="I56" s="152"/>
      <c r="J56" s="152" t="s">
        <v>742</v>
      </c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 t="s">
        <v>742</v>
      </c>
      <c r="X56" s="152"/>
      <c r="Y56" s="152"/>
      <c r="Z56" s="153"/>
    </row>
    <row r="57" ht="13.5" customHeight="1">
      <c r="A57" s="165"/>
      <c r="B57" s="166"/>
      <c r="C57" s="167"/>
      <c r="D57" s="168" t="s">
        <v>2048</v>
      </c>
      <c r="E57" s="169"/>
      <c r="F57" s="152"/>
      <c r="G57" s="152"/>
      <c r="H57" s="152"/>
      <c r="I57" s="152"/>
      <c r="J57" s="152"/>
      <c r="K57" s="152" t="s">
        <v>742</v>
      </c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3"/>
    </row>
    <row r="58" ht="13.5" customHeight="1">
      <c r="A58" s="165"/>
      <c r="B58" s="166"/>
      <c r="C58" s="167"/>
      <c r="D58" s="168" t="s">
        <v>2050</v>
      </c>
      <c r="E58" s="169"/>
      <c r="F58" s="152"/>
      <c r="G58" s="152"/>
      <c r="H58" s="152"/>
      <c r="I58" s="152"/>
      <c r="J58" s="152"/>
      <c r="K58" s="152"/>
      <c r="L58" s="152" t="s">
        <v>742</v>
      </c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3"/>
    </row>
    <row r="59" ht="13.5" customHeight="1">
      <c r="A59" s="165"/>
      <c r="B59" s="166"/>
      <c r="C59" s="167"/>
      <c r="D59" s="168" t="s">
        <v>2052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 t="s">
        <v>742</v>
      </c>
      <c r="Q59" s="152"/>
      <c r="R59" s="152"/>
      <c r="S59" s="152"/>
      <c r="T59" s="152"/>
      <c r="U59" s="152"/>
      <c r="V59" s="152"/>
      <c r="W59" s="152"/>
      <c r="X59" s="152"/>
      <c r="Y59" s="152"/>
      <c r="Z59" s="153"/>
    </row>
    <row r="60" ht="13.5" customHeight="1">
      <c r="A60" s="165"/>
      <c r="B60" s="166"/>
      <c r="C60" s="167"/>
      <c r="D60" s="168" t="s">
        <v>2054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 t="s">
        <v>742</v>
      </c>
      <c r="R60" s="152"/>
      <c r="S60" s="152"/>
      <c r="T60" s="152"/>
      <c r="U60" s="152"/>
      <c r="V60" s="152"/>
      <c r="W60" s="152"/>
      <c r="X60" s="152"/>
      <c r="Y60" s="152"/>
      <c r="Z60" s="153"/>
    </row>
    <row r="61" ht="13.5" customHeight="1">
      <c r="A61" s="165"/>
      <c r="B61" s="166"/>
      <c r="C61" s="167"/>
      <c r="D61" s="168" t="s">
        <v>2056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 t="s">
        <v>742</v>
      </c>
      <c r="S61" s="152"/>
      <c r="T61" s="152"/>
      <c r="U61" s="152"/>
      <c r="V61" s="152"/>
      <c r="W61" s="152"/>
      <c r="X61" s="152"/>
      <c r="Y61" s="152"/>
      <c r="Z61" s="153"/>
    </row>
    <row r="62" ht="13.5" customHeight="1">
      <c r="A62" s="165"/>
      <c r="B62" s="166"/>
      <c r="C62" s="167"/>
      <c r="D62" s="168" t="s">
        <v>2057</v>
      </c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 t="s">
        <v>742</v>
      </c>
      <c r="T62" s="152"/>
      <c r="U62" s="152"/>
      <c r="V62" s="152"/>
      <c r="W62" s="152"/>
      <c r="X62" s="152"/>
      <c r="Y62" s="152"/>
      <c r="Z62" s="153"/>
    </row>
    <row r="63" ht="13.5" customHeight="1">
      <c r="A63" s="165"/>
      <c r="B63" s="166"/>
      <c r="C63" s="167"/>
      <c r="D63" s="168" t="s">
        <v>2058</v>
      </c>
      <c r="E63" s="169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 t="s">
        <v>742</v>
      </c>
      <c r="V63" s="152"/>
      <c r="W63" s="152"/>
      <c r="X63" s="152"/>
      <c r="Y63" s="152"/>
      <c r="Z63" s="153"/>
    </row>
    <row r="64" ht="13.5" customHeight="1">
      <c r="A64" s="165"/>
      <c r="B64" s="166"/>
      <c r="C64" s="167"/>
      <c r="D64" s="168" t="s">
        <v>2035</v>
      </c>
      <c r="E64" s="169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 t="s">
        <v>742</v>
      </c>
      <c r="W64" s="152"/>
      <c r="X64" s="152"/>
      <c r="Y64" s="152"/>
      <c r="Z64" s="153" t="s">
        <v>742</v>
      </c>
    </row>
    <row r="65" ht="13.5" customHeight="1">
      <c r="A65" s="165"/>
      <c r="B65" s="166"/>
      <c r="C65" s="167"/>
      <c r="D65" s="168" t="s">
        <v>2059</v>
      </c>
      <c r="E65" s="169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 t="s">
        <v>742</v>
      </c>
      <c r="Z65" s="153"/>
    </row>
    <row r="66" ht="13.5" customHeight="1">
      <c r="A66" s="165"/>
      <c r="B66" s="166" t="s">
        <v>854</v>
      </c>
      <c r="C66" s="167"/>
      <c r="D66" s="168"/>
      <c r="E66" s="169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3"/>
    </row>
    <row r="67" ht="13.5" customHeight="1">
      <c r="A67" s="165"/>
      <c r="B67" s="170"/>
      <c r="C67" s="171"/>
      <c r="D67" s="172"/>
      <c r="E67" s="173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5"/>
    </row>
    <row r="68" ht="13.5" customHeight="1">
      <c r="A68" s="160" t="s">
        <v>865</v>
      </c>
      <c r="B68" s="176" t="s">
        <v>866</v>
      </c>
      <c r="C68" s="177"/>
      <c r="D68" s="178"/>
      <c r="E68" s="179"/>
      <c r="F68" s="180" t="s">
        <v>54</v>
      </c>
      <c r="G68" s="180" t="s">
        <v>54</v>
      </c>
      <c r="H68" s="180" t="s">
        <v>55</v>
      </c>
      <c r="I68" s="180" t="s">
        <v>55</v>
      </c>
      <c r="J68" s="180" t="s">
        <v>55</v>
      </c>
      <c r="K68" s="180" t="s">
        <v>55</v>
      </c>
      <c r="L68" s="180" t="s">
        <v>55</v>
      </c>
      <c r="M68" s="180" t="s">
        <v>57</v>
      </c>
      <c r="N68" s="180" t="s">
        <v>54</v>
      </c>
      <c r="O68" s="180" t="s">
        <v>57</v>
      </c>
      <c r="P68" s="180" t="s">
        <v>57</v>
      </c>
      <c r="Q68" s="180" t="s">
        <v>57</v>
      </c>
      <c r="R68" s="180" t="s">
        <v>57</v>
      </c>
      <c r="S68" s="180" t="s">
        <v>55</v>
      </c>
      <c r="T68" s="180" t="s">
        <v>54</v>
      </c>
      <c r="U68" s="180" t="s">
        <v>55</v>
      </c>
      <c r="V68" s="180" t="s">
        <v>55</v>
      </c>
      <c r="W68" s="180" t="s">
        <v>55</v>
      </c>
      <c r="X68" s="180" t="s">
        <v>54</v>
      </c>
      <c r="Y68" s="180" t="s">
        <v>55</v>
      </c>
      <c r="Z68" s="181" t="s">
        <v>55</v>
      </c>
    </row>
    <row r="69" ht="13.5" customHeight="1">
      <c r="A69" s="165"/>
      <c r="B69" s="182" t="s">
        <v>867</v>
      </c>
      <c r="C69" s="27"/>
      <c r="D69" s="25"/>
      <c r="E69" s="183"/>
      <c r="F69" s="184" t="s">
        <v>868</v>
      </c>
      <c r="G69" s="184" t="s">
        <v>868</v>
      </c>
      <c r="H69" s="184" t="s">
        <v>868</v>
      </c>
      <c r="I69" s="184" t="s">
        <v>868</v>
      </c>
      <c r="J69" s="184" t="s">
        <v>868</v>
      </c>
      <c r="K69" s="184" t="s">
        <v>868</v>
      </c>
      <c r="L69" s="184" t="s">
        <v>868</v>
      </c>
      <c r="M69" s="184" t="s">
        <v>868</v>
      </c>
      <c r="N69" s="184" t="s">
        <v>868</v>
      </c>
      <c r="O69" s="184" t="s">
        <v>868</v>
      </c>
      <c r="P69" s="184" t="s">
        <v>868</v>
      </c>
      <c r="Q69" s="184" t="s">
        <v>868</v>
      </c>
      <c r="R69" s="184" t="s">
        <v>868</v>
      </c>
      <c r="S69" s="184" t="s">
        <v>868</v>
      </c>
      <c r="T69" s="184" t="s">
        <v>868</v>
      </c>
      <c r="U69" s="184" t="s">
        <v>868</v>
      </c>
      <c r="V69" s="184" t="s">
        <v>868</v>
      </c>
      <c r="W69" s="184" t="s">
        <v>868</v>
      </c>
      <c r="X69" s="184" t="s">
        <v>868</v>
      </c>
      <c r="Y69" s="184" t="s">
        <v>868</v>
      </c>
      <c r="Z69" s="185" t="s">
        <v>868</v>
      </c>
    </row>
    <row r="70" ht="99.75" customHeight="1">
      <c r="A70" s="165"/>
      <c r="B70" s="186" t="s">
        <v>869</v>
      </c>
      <c r="C70" s="27"/>
      <c r="D70" s="25"/>
      <c r="E70" s="169"/>
      <c r="F70" s="187">
        <v>46266.0</v>
      </c>
      <c r="G70" s="187">
        <v>46266.0</v>
      </c>
      <c r="H70" s="187">
        <v>46266.0</v>
      </c>
      <c r="I70" s="187">
        <v>46266.0</v>
      </c>
      <c r="J70" s="187">
        <v>46266.0</v>
      </c>
      <c r="K70" s="187">
        <v>46266.0</v>
      </c>
      <c r="L70" s="187">
        <v>46266.0</v>
      </c>
      <c r="M70" s="187">
        <v>46266.0</v>
      </c>
      <c r="N70" s="187">
        <v>46266.0</v>
      </c>
      <c r="O70" s="187">
        <v>46266.0</v>
      </c>
      <c r="P70" s="187">
        <v>46266.0</v>
      </c>
      <c r="Q70" s="187">
        <v>46266.0</v>
      </c>
      <c r="R70" s="187">
        <v>46266.0</v>
      </c>
      <c r="S70" s="187">
        <v>46266.0</v>
      </c>
      <c r="T70" s="187">
        <v>46266.0</v>
      </c>
      <c r="U70" s="187">
        <v>46266.0</v>
      </c>
      <c r="V70" s="187">
        <v>46266.0</v>
      </c>
      <c r="W70" s="187">
        <v>46266.0</v>
      </c>
      <c r="X70" s="187">
        <v>46266.0</v>
      </c>
      <c r="Y70" s="187">
        <v>46266.0</v>
      </c>
      <c r="Z70" s="189">
        <v>46266.0</v>
      </c>
    </row>
    <row r="71" ht="72.75" customHeight="1">
      <c r="A71" s="190"/>
      <c r="B71" s="191" t="s">
        <v>870</v>
      </c>
      <c r="C71" s="192"/>
      <c r="D71" s="193"/>
      <c r="E71" s="194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6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Z4"/>
    <mergeCell ref="C5:Z5"/>
    <mergeCell ref="A2:B2"/>
    <mergeCell ref="C2:E2"/>
    <mergeCell ref="F2:K2"/>
    <mergeCell ref="L2:Z2"/>
    <mergeCell ref="C3:E3"/>
    <mergeCell ref="F3:K3"/>
    <mergeCell ref="L3:Z3"/>
    <mergeCell ref="F6:K6"/>
    <mergeCell ref="L6:N6"/>
    <mergeCell ref="O6:Z6"/>
    <mergeCell ref="A7:B7"/>
    <mergeCell ref="C7:E7"/>
    <mergeCell ref="F7:K7"/>
    <mergeCell ref="O7:Z7"/>
    <mergeCell ref="B68:D68"/>
    <mergeCell ref="B69:D69"/>
    <mergeCell ref="B70:D70"/>
    <mergeCell ref="B71:D71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9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</row>
    <row r="2" ht="13.5" customHeight="1">
      <c r="A2" s="111" t="s">
        <v>707</v>
      </c>
      <c r="B2" s="112"/>
      <c r="C2" s="113" t="s">
        <v>408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368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ht="13.5" customHeight="1">
      <c r="A4" s="117" t="s">
        <v>711</v>
      </c>
      <c r="B4" s="27"/>
      <c r="C4" s="122">
        <v>128.0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ht="13.5" customHeight="1">
      <c r="A5" s="117" t="s">
        <v>713</v>
      </c>
      <c r="B5" s="27"/>
      <c r="C5" s="124" t="s">
        <v>2060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ht="13.5" customHeight="1">
      <c r="A7" s="129">
        <f>COUNTIF(F79:AC79,"P")</f>
        <v>24</v>
      </c>
      <c r="B7" s="130"/>
      <c r="C7" s="131">
        <f>COUNTIF(F79:AC79,"F")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COUNTIF(F78:AC78,"N")</f>
        <v>7</v>
      </c>
      <c r="M7" s="132">
        <f>COUNTIF(F78:AC78,"A")</f>
        <v>12</v>
      </c>
      <c r="N7" s="132">
        <f>COUNTIF(F78:AC78,"B")</f>
        <v>5</v>
      </c>
      <c r="O7" s="133">
        <f>COUNTA(F9:AC9)</f>
        <v>24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39" t="s">
        <v>736</v>
      </c>
      <c r="AA9" s="139" t="s">
        <v>737</v>
      </c>
      <c r="AB9" s="139" t="s">
        <v>738</v>
      </c>
      <c r="AC9" s="140" t="s">
        <v>876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7"/>
    </row>
    <row r="11" ht="13.5" customHeight="1">
      <c r="A11" s="148"/>
      <c r="B11" s="149"/>
      <c r="C11" s="150"/>
      <c r="D11" s="151" t="s">
        <v>2061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3"/>
    </row>
    <row r="12" ht="13.5" customHeight="1">
      <c r="A12" s="148"/>
      <c r="B12" s="149"/>
      <c r="C12" s="150"/>
      <c r="D12" s="151" t="s">
        <v>1455</v>
      </c>
      <c r="E12" s="145"/>
      <c r="F12" s="152"/>
      <c r="G12" s="152" t="s">
        <v>742</v>
      </c>
      <c r="H12" s="152" t="s">
        <v>742</v>
      </c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3"/>
    </row>
    <row r="13" ht="13.5" customHeight="1">
      <c r="A13" s="148"/>
      <c r="B13" s="149"/>
      <c r="C13" s="150"/>
      <c r="D13" s="151" t="s">
        <v>1957</v>
      </c>
      <c r="E13" s="145"/>
      <c r="F13" s="152"/>
      <c r="G13" s="152"/>
      <c r="H13" s="152"/>
      <c r="I13" s="152" t="s">
        <v>742</v>
      </c>
      <c r="J13" s="152"/>
      <c r="K13" s="152"/>
      <c r="L13" s="152"/>
      <c r="M13" s="152"/>
      <c r="N13" s="152" t="s">
        <v>742</v>
      </c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3"/>
    </row>
    <row r="14" ht="13.5" customHeight="1">
      <c r="A14" s="148"/>
      <c r="B14" s="149"/>
      <c r="C14" s="150"/>
      <c r="D14" s="151" t="s">
        <v>2062</v>
      </c>
      <c r="E14" s="145"/>
      <c r="F14" s="152"/>
      <c r="G14" s="152"/>
      <c r="H14" s="152"/>
      <c r="I14" s="152"/>
      <c r="J14" s="152" t="s">
        <v>742</v>
      </c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3"/>
    </row>
    <row r="15" ht="13.5" customHeight="1">
      <c r="A15" s="148"/>
      <c r="B15" s="149"/>
      <c r="C15" s="150"/>
      <c r="D15" s="151" t="s">
        <v>2063</v>
      </c>
      <c r="E15" s="145"/>
      <c r="F15" s="152"/>
      <c r="G15" s="152"/>
      <c r="H15" s="152"/>
      <c r="I15" s="152"/>
      <c r="J15" s="152"/>
      <c r="K15" s="152" t="s">
        <v>742</v>
      </c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3"/>
    </row>
    <row r="16" ht="13.5" customHeight="1">
      <c r="A16" s="148"/>
      <c r="B16" s="149"/>
      <c r="C16" s="150"/>
      <c r="D16" s="151" t="s">
        <v>2064</v>
      </c>
      <c r="E16" s="145"/>
      <c r="F16" s="152"/>
      <c r="G16" s="152"/>
      <c r="H16" s="152"/>
      <c r="I16" s="152"/>
      <c r="J16" s="152"/>
      <c r="K16" s="152"/>
      <c r="L16" s="152" t="s">
        <v>742</v>
      </c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3"/>
    </row>
    <row r="17" ht="13.5" customHeight="1">
      <c r="A17" s="148"/>
      <c r="B17" s="149"/>
      <c r="C17" s="150"/>
      <c r="D17" s="151" t="s">
        <v>1404</v>
      </c>
      <c r="E17" s="145"/>
      <c r="F17" s="152"/>
      <c r="G17" s="152"/>
      <c r="H17" s="152"/>
      <c r="I17" s="152"/>
      <c r="J17" s="152"/>
      <c r="K17" s="152"/>
      <c r="L17" s="152"/>
      <c r="M17" s="152" t="s">
        <v>742</v>
      </c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3"/>
    </row>
    <row r="18" ht="13.5" customHeight="1">
      <c r="A18" s="148"/>
      <c r="B18" s="149"/>
      <c r="C18" s="150"/>
      <c r="D18" s="151" t="s">
        <v>2065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 t="s">
        <v>742</v>
      </c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3"/>
    </row>
    <row r="19" ht="13.5" customHeight="1">
      <c r="A19" s="148"/>
      <c r="B19" s="149"/>
      <c r="C19" s="150"/>
      <c r="D19" s="151" t="s">
        <v>2066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 t="s">
        <v>742</v>
      </c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3"/>
    </row>
    <row r="20" ht="13.5" customHeight="1">
      <c r="A20" s="148"/>
      <c r="B20" s="149"/>
      <c r="C20" s="150"/>
      <c r="D20" s="151" t="s">
        <v>2067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 t="s">
        <v>742</v>
      </c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3"/>
    </row>
    <row r="21" ht="13.5" customHeight="1">
      <c r="A21" s="148"/>
      <c r="B21" s="149"/>
      <c r="C21" s="150"/>
      <c r="D21" s="151" t="s">
        <v>2068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 t="s">
        <v>742</v>
      </c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3"/>
    </row>
    <row r="22" ht="13.5" customHeight="1">
      <c r="A22" s="148"/>
      <c r="B22" s="149"/>
      <c r="C22" s="150"/>
      <c r="D22" s="151" t="s">
        <v>2069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 t="s">
        <v>742</v>
      </c>
      <c r="T22" s="152"/>
      <c r="U22" s="152"/>
      <c r="V22" s="152"/>
      <c r="W22" s="152"/>
      <c r="X22" s="152"/>
      <c r="Y22" s="152"/>
      <c r="Z22" s="152"/>
      <c r="AA22" s="152"/>
      <c r="AB22" s="152"/>
      <c r="AC22" s="153"/>
    </row>
    <row r="23" ht="13.5" customHeight="1">
      <c r="A23" s="148"/>
      <c r="B23" s="149"/>
      <c r="C23" s="150"/>
      <c r="D23" s="151" t="s">
        <v>2070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 t="s">
        <v>742</v>
      </c>
      <c r="U23" s="152"/>
      <c r="V23" s="152"/>
      <c r="W23" s="152"/>
      <c r="X23" s="152"/>
      <c r="Y23" s="152" t="s">
        <v>742</v>
      </c>
      <c r="Z23" s="152"/>
      <c r="AA23" s="152"/>
      <c r="AB23" s="152"/>
      <c r="AC23" s="153"/>
    </row>
    <row r="24" ht="13.5" customHeight="1">
      <c r="A24" s="148"/>
      <c r="B24" s="149"/>
      <c r="C24" s="150"/>
      <c r="D24" s="151" t="s">
        <v>2071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 t="s">
        <v>742</v>
      </c>
      <c r="V24" s="152"/>
      <c r="W24" s="152"/>
      <c r="X24" s="152"/>
      <c r="Y24" s="152"/>
      <c r="Z24" s="152"/>
      <c r="AA24" s="152"/>
      <c r="AB24" s="152"/>
      <c r="AC24" s="153"/>
    </row>
    <row r="25" ht="13.5" customHeight="1">
      <c r="A25" s="148"/>
      <c r="B25" s="149"/>
      <c r="C25" s="150"/>
      <c r="D25" s="151" t="s">
        <v>2072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 t="s">
        <v>742</v>
      </c>
      <c r="W25" s="152"/>
      <c r="X25" s="152"/>
      <c r="Y25" s="152"/>
      <c r="Z25" s="152"/>
      <c r="AA25" s="152"/>
      <c r="AB25" s="152"/>
      <c r="AC25" s="153"/>
    </row>
    <row r="26" ht="13.5" customHeight="1">
      <c r="A26" s="148"/>
      <c r="B26" s="149"/>
      <c r="C26" s="150"/>
      <c r="D26" s="151" t="s">
        <v>2073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 t="s">
        <v>742</v>
      </c>
      <c r="X26" s="152"/>
      <c r="Y26" s="152"/>
      <c r="Z26" s="152"/>
      <c r="AA26" s="152"/>
      <c r="AB26" s="152"/>
      <c r="AC26" s="153"/>
    </row>
    <row r="27" ht="13.5" customHeight="1">
      <c r="A27" s="148"/>
      <c r="B27" s="149"/>
      <c r="C27" s="150"/>
      <c r="D27" s="151" t="s">
        <v>2074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 t="s">
        <v>742</v>
      </c>
      <c r="Y27" s="152"/>
      <c r="Z27" s="152"/>
      <c r="AA27" s="152"/>
      <c r="AB27" s="152"/>
      <c r="AC27" s="153"/>
    </row>
    <row r="28" ht="13.5" customHeight="1">
      <c r="A28" s="148"/>
      <c r="B28" s="149"/>
      <c r="C28" s="150"/>
      <c r="D28" s="151" t="s">
        <v>2075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 t="s">
        <v>742</v>
      </c>
      <c r="AA28" s="152"/>
      <c r="AB28" s="152"/>
      <c r="AC28" s="153"/>
    </row>
    <row r="29" ht="13.5" customHeight="1">
      <c r="A29" s="148"/>
      <c r="B29" s="149"/>
      <c r="C29" s="150"/>
      <c r="D29" s="151" t="s">
        <v>2076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 t="s">
        <v>742</v>
      </c>
      <c r="AB29" s="152" t="s">
        <v>742</v>
      </c>
      <c r="AC29" s="153"/>
    </row>
    <row r="30" ht="13.5" customHeight="1">
      <c r="A30" s="148"/>
      <c r="B30" s="149"/>
      <c r="C30" s="150"/>
      <c r="D30" s="151" t="s">
        <v>2077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3" t="s">
        <v>742</v>
      </c>
    </row>
    <row r="31" ht="13.5" customHeight="1">
      <c r="A31" s="148"/>
      <c r="B31" s="149" t="s">
        <v>768</v>
      </c>
      <c r="C31" s="150"/>
      <c r="D31" s="151"/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3"/>
    </row>
    <row r="32" ht="13.5" customHeight="1">
      <c r="A32" s="148"/>
      <c r="B32" s="149"/>
      <c r="C32" s="150"/>
      <c r="D32" s="151" t="s">
        <v>2078</v>
      </c>
      <c r="E32" s="145"/>
      <c r="F32" s="152" t="s">
        <v>742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3"/>
    </row>
    <row r="33" ht="13.5" customHeight="1">
      <c r="A33" s="148"/>
      <c r="B33" s="149"/>
      <c r="C33" s="150"/>
      <c r="D33" s="151" t="s">
        <v>1488</v>
      </c>
      <c r="E33" s="145"/>
      <c r="F33" s="152"/>
      <c r="G33" s="152" t="s">
        <v>742</v>
      </c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3"/>
    </row>
    <row r="34" ht="13.5" customHeight="1">
      <c r="A34" s="148"/>
      <c r="B34" s="149"/>
      <c r="C34" s="150"/>
      <c r="D34" s="151" t="s">
        <v>1595</v>
      </c>
      <c r="E34" s="145"/>
      <c r="F34" s="152"/>
      <c r="G34" s="152"/>
      <c r="H34" s="152" t="s">
        <v>742</v>
      </c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3"/>
    </row>
    <row r="35" ht="13.5" customHeight="1">
      <c r="A35" s="148"/>
      <c r="B35" s="149"/>
      <c r="C35" s="150"/>
      <c r="D35" s="151" t="s">
        <v>2079</v>
      </c>
      <c r="E35" s="145"/>
      <c r="F35" s="152"/>
      <c r="G35" s="152"/>
      <c r="H35" s="152"/>
      <c r="I35" s="152" t="s">
        <v>742</v>
      </c>
      <c r="J35" s="152"/>
      <c r="K35" s="152"/>
      <c r="L35" s="152"/>
      <c r="M35" s="152"/>
      <c r="N35" s="152" t="s">
        <v>742</v>
      </c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3"/>
    </row>
    <row r="36" ht="13.5" customHeight="1">
      <c r="A36" s="148"/>
      <c r="B36" s="149"/>
      <c r="C36" s="150"/>
      <c r="D36" s="151" t="s">
        <v>2080</v>
      </c>
      <c r="E36" s="145"/>
      <c r="F36" s="152"/>
      <c r="G36" s="152"/>
      <c r="H36" s="152"/>
      <c r="I36" s="152"/>
      <c r="J36" s="152" t="s">
        <v>742</v>
      </c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3"/>
    </row>
    <row r="37" ht="13.5" customHeight="1">
      <c r="A37" s="148"/>
      <c r="B37" s="149"/>
      <c r="C37" s="150"/>
      <c r="D37" s="151" t="s">
        <v>2081</v>
      </c>
      <c r="E37" s="145"/>
      <c r="F37" s="152"/>
      <c r="G37" s="152"/>
      <c r="H37" s="152"/>
      <c r="I37" s="152"/>
      <c r="J37" s="152"/>
      <c r="K37" s="152" t="s">
        <v>742</v>
      </c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3"/>
    </row>
    <row r="38" ht="13.5" customHeight="1">
      <c r="A38" s="148"/>
      <c r="B38" s="149"/>
      <c r="C38" s="150"/>
      <c r="D38" s="151" t="s">
        <v>2082</v>
      </c>
      <c r="E38" s="145"/>
      <c r="F38" s="152"/>
      <c r="G38" s="152"/>
      <c r="H38" s="152"/>
      <c r="I38" s="152"/>
      <c r="J38" s="152"/>
      <c r="K38" s="152"/>
      <c r="L38" s="152" t="s">
        <v>742</v>
      </c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3"/>
    </row>
    <row r="39" ht="13.5" customHeight="1">
      <c r="A39" s="148"/>
      <c r="B39" s="149"/>
      <c r="C39" s="150"/>
      <c r="D39" s="151" t="s">
        <v>2083</v>
      </c>
      <c r="E39" s="145"/>
      <c r="F39" s="152"/>
      <c r="G39" s="152"/>
      <c r="H39" s="152"/>
      <c r="I39" s="152"/>
      <c r="J39" s="152"/>
      <c r="K39" s="152"/>
      <c r="L39" s="152"/>
      <c r="M39" s="152" t="s">
        <v>742</v>
      </c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3"/>
    </row>
    <row r="40" ht="13.5" customHeight="1">
      <c r="A40" s="148"/>
      <c r="B40" s="149"/>
      <c r="C40" s="150"/>
      <c r="D40" s="151" t="s">
        <v>2084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/>
      <c r="O40" s="152" t="s">
        <v>742</v>
      </c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3"/>
    </row>
    <row r="41" ht="13.5" customHeight="1">
      <c r="A41" s="148"/>
      <c r="B41" s="149"/>
      <c r="C41" s="150"/>
      <c r="D41" s="151" t="s">
        <v>2085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 t="s">
        <v>742</v>
      </c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3"/>
    </row>
    <row r="42" ht="13.5" customHeight="1">
      <c r="A42" s="148"/>
      <c r="B42" s="149"/>
      <c r="C42" s="150"/>
      <c r="D42" s="151" t="s">
        <v>2086</v>
      </c>
      <c r="E42" s="145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 t="s">
        <v>742</v>
      </c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3"/>
    </row>
    <row r="43" ht="13.5" customHeight="1">
      <c r="A43" s="148"/>
      <c r="B43" s="149"/>
      <c r="C43" s="150"/>
      <c r="D43" s="151" t="s">
        <v>2087</v>
      </c>
      <c r="E43" s="145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 t="s">
        <v>742</v>
      </c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3"/>
    </row>
    <row r="44" ht="13.5" customHeight="1">
      <c r="A44" s="148"/>
      <c r="B44" s="149"/>
      <c r="C44" s="150"/>
      <c r="D44" s="151" t="s">
        <v>2088</v>
      </c>
      <c r="E44" s="145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 t="s">
        <v>742</v>
      </c>
      <c r="T44" s="152"/>
      <c r="U44" s="152"/>
      <c r="V44" s="152"/>
      <c r="W44" s="152"/>
      <c r="X44" s="152"/>
      <c r="Y44" s="152"/>
      <c r="Z44" s="152"/>
      <c r="AA44" s="152"/>
      <c r="AB44" s="152"/>
      <c r="AC44" s="153"/>
    </row>
    <row r="45" ht="13.5" customHeight="1">
      <c r="A45" s="148"/>
      <c r="B45" s="149"/>
      <c r="C45" s="150"/>
      <c r="D45" s="151" t="s">
        <v>2089</v>
      </c>
      <c r="E45" s="145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 t="s">
        <v>742</v>
      </c>
      <c r="U45" s="152"/>
      <c r="V45" s="152" t="s">
        <v>742</v>
      </c>
      <c r="W45" s="152"/>
      <c r="X45" s="152"/>
      <c r="Y45" s="152" t="s">
        <v>742</v>
      </c>
      <c r="Z45" s="152" t="s">
        <v>742</v>
      </c>
      <c r="AA45" s="152"/>
      <c r="AB45" s="152"/>
      <c r="AC45" s="153"/>
    </row>
    <row r="46" ht="13.5" customHeight="1">
      <c r="A46" s="148"/>
      <c r="B46" s="149"/>
      <c r="C46" s="150"/>
      <c r="D46" s="151" t="s">
        <v>2090</v>
      </c>
      <c r="E46" s="145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 t="s">
        <v>742</v>
      </c>
      <c r="V46" s="152"/>
      <c r="W46" s="152" t="s">
        <v>742</v>
      </c>
      <c r="X46" s="152"/>
      <c r="Y46" s="152"/>
      <c r="Z46" s="152"/>
      <c r="AA46" s="152"/>
      <c r="AB46" s="152"/>
      <c r="AC46" s="153"/>
    </row>
    <row r="47" ht="13.5" customHeight="1">
      <c r="A47" s="148"/>
      <c r="B47" s="149"/>
      <c r="C47" s="150"/>
      <c r="D47" s="151" t="s">
        <v>2091</v>
      </c>
      <c r="E47" s="145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 t="s">
        <v>742</v>
      </c>
      <c r="Y47" s="152"/>
      <c r="Z47" s="152"/>
      <c r="AA47" s="152"/>
      <c r="AB47" s="152"/>
      <c r="AC47" s="153"/>
    </row>
    <row r="48" ht="13.5" customHeight="1">
      <c r="A48" s="148"/>
      <c r="B48" s="149"/>
      <c r="C48" s="150"/>
      <c r="D48" s="151" t="s">
        <v>2092</v>
      </c>
      <c r="E48" s="145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 t="s">
        <v>742</v>
      </c>
      <c r="AB48" s="152"/>
      <c r="AC48" s="153"/>
    </row>
    <row r="49" ht="13.5" customHeight="1">
      <c r="A49" s="148"/>
      <c r="B49" s="149"/>
      <c r="C49" s="150"/>
      <c r="D49" s="151" t="s">
        <v>2005</v>
      </c>
      <c r="E49" s="145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 t="s">
        <v>742</v>
      </c>
      <c r="AC49" s="153"/>
    </row>
    <row r="50" ht="13.5" customHeight="1">
      <c r="A50" s="148"/>
      <c r="B50" s="149"/>
      <c r="C50" s="150"/>
      <c r="D50" s="151" t="s">
        <v>2093</v>
      </c>
      <c r="E50" s="145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3" t="s">
        <v>742</v>
      </c>
    </row>
    <row r="51" ht="13.5" customHeight="1">
      <c r="A51" s="148"/>
      <c r="B51" s="154"/>
      <c r="C51" s="155"/>
      <c r="D51" s="156"/>
      <c r="E51" s="157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9"/>
    </row>
    <row r="52" ht="13.5" customHeight="1">
      <c r="A52" s="160" t="s">
        <v>802</v>
      </c>
      <c r="B52" s="161" t="s">
        <v>804</v>
      </c>
      <c r="C52" s="162"/>
      <c r="D52" s="163"/>
      <c r="E52" s="164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7"/>
    </row>
    <row r="53" ht="13.5" customHeight="1">
      <c r="A53" s="165"/>
      <c r="B53" s="166"/>
      <c r="C53" s="167"/>
      <c r="D53" s="168" t="s">
        <v>2094</v>
      </c>
      <c r="E53" s="169"/>
      <c r="F53" s="152" t="s">
        <v>742</v>
      </c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3"/>
    </row>
    <row r="54" ht="13.5" customHeight="1">
      <c r="A54" s="165"/>
      <c r="B54" s="166"/>
      <c r="C54" s="167"/>
      <c r="D54" s="168" t="s">
        <v>2095</v>
      </c>
      <c r="E54" s="169"/>
      <c r="F54" s="152"/>
      <c r="G54" s="152"/>
      <c r="H54" s="152"/>
      <c r="I54" s="152"/>
      <c r="J54" s="152" t="s">
        <v>742</v>
      </c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3"/>
    </row>
    <row r="55" ht="13.5" customHeight="1">
      <c r="A55" s="165"/>
      <c r="B55" s="166"/>
      <c r="C55" s="167"/>
      <c r="D55" s="168" t="s">
        <v>2096</v>
      </c>
      <c r="E55" s="169"/>
      <c r="F55" s="152"/>
      <c r="G55" s="152"/>
      <c r="H55" s="152"/>
      <c r="I55" s="152"/>
      <c r="J55" s="152"/>
      <c r="K55" s="152" t="s">
        <v>742</v>
      </c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3"/>
    </row>
    <row r="56" ht="13.5" customHeight="1">
      <c r="A56" s="165"/>
      <c r="B56" s="166"/>
      <c r="C56" s="167"/>
      <c r="D56" s="168" t="s">
        <v>2097</v>
      </c>
      <c r="E56" s="169"/>
      <c r="F56" s="152"/>
      <c r="G56" s="152"/>
      <c r="H56" s="152"/>
      <c r="I56" s="152"/>
      <c r="J56" s="152"/>
      <c r="K56" s="152" t="s">
        <v>742</v>
      </c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3"/>
    </row>
    <row r="57" ht="13.5" customHeight="1">
      <c r="A57" s="165"/>
      <c r="B57" s="166"/>
      <c r="C57" s="167"/>
      <c r="D57" s="168" t="s">
        <v>2098</v>
      </c>
      <c r="E57" s="169"/>
      <c r="F57" s="152"/>
      <c r="G57" s="152"/>
      <c r="H57" s="152"/>
      <c r="I57" s="152"/>
      <c r="J57" s="152"/>
      <c r="K57" s="152"/>
      <c r="L57" s="152" t="s">
        <v>742</v>
      </c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3"/>
    </row>
    <row r="58" ht="13.5" customHeight="1">
      <c r="A58" s="165"/>
      <c r="B58" s="166"/>
      <c r="C58" s="167"/>
      <c r="D58" s="168" t="s">
        <v>2100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 t="s">
        <v>742</v>
      </c>
      <c r="T58" s="152"/>
      <c r="U58" s="152"/>
      <c r="V58" s="152"/>
      <c r="W58" s="152"/>
      <c r="X58" s="152"/>
      <c r="Y58" s="152"/>
      <c r="Z58" s="152"/>
      <c r="AA58" s="152"/>
      <c r="AB58" s="152"/>
      <c r="AC58" s="153"/>
    </row>
    <row r="59" ht="13.5" customHeight="1">
      <c r="A59" s="165"/>
      <c r="B59" s="166"/>
      <c r="C59" s="167"/>
      <c r="D59" s="168" t="s">
        <v>2101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 t="s">
        <v>742</v>
      </c>
      <c r="X59" s="152"/>
      <c r="Y59" s="152"/>
      <c r="Z59" s="152"/>
      <c r="AA59" s="152"/>
      <c r="AB59" s="152"/>
      <c r="AC59" s="153"/>
    </row>
    <row r="60" ht="13.5" customHeight="1">
      <c r="A60" s="165"/>
      <c r="B60" s="166"/>
      <c r="C60" s="167"/>
      <c r="D60" s="168" t="s">
        <v>2102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 t="s">
        <v>742</v>
      </c>
      <c r="Y60" s="152"/>
      <c r="Z60" s="152"/>
      <c r="AA60" s="152"/>
      <c r="AB60" s="152"/>
      <c r="AC60" s="153"/>
    </row>
    <row r="61" ht="13.5" customHeight="1">
      <c r="A61" s="165"/>
      <c r="B61" s="166"/>
      <c r="C61" s="167"/>
      <c r="D61" s="168" t="s">
        <v>2103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 t="s">
        <v>742</v>
      </c>
      <c r="AA61" s="152"/>
      <c r="AB61" s="152"/>
      <c r="AC61" s="153"/>
    </row>
    <row r="62" ht="13.5" customHeight="1">
      <c r="A62" s="165"/>
      <c r="B62" s="166"/>
      <c r="C62" s="167"/>
      <c r="D62" s="168" t="s">
        <v>817</v>
      </c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 t="s">
        <v>742</v>
      </c>
      <c r="AB62" s="152"/>
      <c r="AC62" s="153"/>
    </row>
    <row r="63" ht="13.5" customHeight="1">
      <c r="A63" s="165"/>
      <c r="B63" s="166" t="s">
        <v>825</v>
      </c>
      <c r="C63" s="167"/>
      <c r="D63" s="168"/>
      <c r="E63" s="169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3"/>
    </row>
    <row r="64" ht="13.5" customHeight="1">
      <c r="A64" s="165"/>
      <c r="B64" s="166"/>
      <c r="C64" s="167"/>
      <c r="D64" s="168" t="s">
        <v>1522</v>
      </c>
      <c r="E64" s="169"/>
      <c r="F64" s="152"/>
      <c r="G64" s="152" t="s">
        <v>742</v>
      </c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3"/>
    </row>
    <row r="65" ht="13.5" customHeight="1">
      <c r="A65" s="165"/>
      <c r="B65" s="166"/>
      <c r="C65" s="167"/>
      <c r="D65" s="168" t="s">
        <v>1523</v>
      </c>
      <c r="E65" s="169"/>
      <c r="F65" s="152"/>
      <c r="G65" s="152"/>
      <c r="H65" s="152" t="s">
        <v>742</v>
      </c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3"/>
    </row>
    <row r="66" ht="13.5" customHeight="1">
      <c r="A66" s="165"/>
      <c r="B66" s="166"/>
      <c r="C66" s="167"/>
      <c r="D66" s="168" t="s">
        <v>2035</v>
      </c>
      <c r="E66" s="169"/>
      <c r="F66" s="152"/>
      <c r="G66" s="152"/>
      <c r="H66" s="152"/>
      <c r="I66" s="152" t="s">
        <v>742</v>
      </c>
      <c r="J66" s="152"/>
      <c r="K66" s="152"/>
      <c r="L66" s="152"/>
      <c r="M66" s="152"/>
      <c r="N66" s="152" t="s">
        <v>742</v>
      </c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3"/>
    </row>
    <row r="67" ht="13.5" customHeight="1">
      <c r="A67" s="165"/>
      <c r="B67" s="166"/>
      <c r="C67" s="167"/>
      <c r="D67" s="168" t="s">
        <v>2104</v>
      </c>
      <c r="E67" s="169"/>
      <c r="F67" s="152"/>
      <c r="G67" s="152"/>
      <c r="H67" s="152"/>
      <c r="I67" s="152"/>
      <c r="J67" s="152"/>
      <c r="K67" s="152"/>
      <c r="L67" s="152"/>
      <c r="M67" s="152" t="s">
        <v>742</v>
      </c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3"/>
    </row>
    <row r="68" ht="13.5" customHeight="1">
      <c r="A68" s="165"/>
      <c r="B68" s="166"/>
      <c r="C68" s="167"/>
      <c r="D68" s="168" t="s">
        <v>2105</v>
      </c>
      <c r="E68" s="169"/>
      <c r="F68" s="152"/>
      <c r="G68" s="152"/>
      <c r="H68" s="152"/>
      <c r="I68" s="152"/>
      <c r="J68" s="152"/>
      <c r="K68" s="152"/>
      <c r="L68" s="152"/>
      <c r="M68" s="152"/>
      <c r="N68" s="152"/>
      <c r="O68" s="152" t="s">
        <v>742</v>
      </c>
      <c r="P68" s="152" t="s">
        <v>742</v>
      </c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3"/>
    </row>
    <row r="69" ht="13.5" customHeight="1">
      <c r="A69" s="165"/>
      <c r="B69" s="166"/>
      <c r="C69" s="167"/>
      <c r="D69" s="168" t="s">
        <v>2106</v>
      </c>
      <c r="E69" s="169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 t="s">
        <v>742</v>
      </c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3"/>
    </row>
    <row r="70" ht="13.5" customHeight="1">
      <c r="A70" s="165"/>
      <c r="B70" s="166"/>
      <c r="C70" s="167"/>
      <c r="D70" s="168" t="s">
        <v>2108</v>
      </c>
      <c r="E70" s="169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 t="s">
        <v>742</v>
      </c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3"/>
    </row>
    <row r="71" ht="13.5" customHeight="1">
      <c r="A71" s="165"/>
      <c r="B71" s="166"/>
      <c r="C71" s="167"/>
      <c r="D71" s="168" t="s">
        <v>2110</v>
      </c>
      <c r="E71" s="169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 t="s">
        <v>742</v>
      </c>
      <c r="U71" s="152"/>
      <c r="V71" s="152"/>
      <c r="W71" s="152"/>
      <c r="X71" s="152"/>
      <c r="Y71" s="152"/>
      <c r="Z71" s="152"/>
      <c r="AA71" s="152"/>
      <c r="AB71" s="152"/>
      <c r="AC71" s="153"/>
    </row>
    <row r="72" ht="13.5" customHeight="1">
      <c r="A72" s="165"/>
      <c r="B72" s="166"/>
      <c r="C72" s="167"/>
      <c r="D72" s="168" t="s">
        <v>2111</v>
      </c>
      <c r="E72" s="169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 t="s">
        <v>742</v>
      </c>
      <c r="V72" s="152" t="s">
        <v>742</v>
      </c>
      <c r="W72" s="152"/>
      <c r="X72" s="152"/>
      <c r="Y72" s="152"/>
      <c r="Z72" s="152"/>
      <c r="AA72" s="152"/>
      <c r="AB72" s="152"/>
      <c r="AC72" s="153"/>
    </row>
    <row r="73" ht="13.5" customHeight="1">
      <c r="A73" s="165"/>
      <c r="B73" s="166"/>
      <c r="C73" s="167"/>
      <c r="D73" s="168" t="s">
        <v>2113</v>
      </c>
      <c r="E73" s="169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 t="s">
        <v>742</v>
      </c>
      <c r="Z73" s="152"/>
      <c r="AA73" s="152"/>
      <c r="AB73" s="152"/>
      <c r="AC73" s="153"/>
    </row>
    <row r="74" ht="13.5" customHeight="1">
      <c r="A74" s="165"/>
      <c r="B74" s="166"/>
      <c r="C74" s="167"/>
      <c r="D74" s="168" t="s">
        <v>2115</v>
      </c>
      <c r="E74" s="169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 t="s">
        <v>742</v>
      </c>
      <c r="AC74" s="153"/>
    </row>
    <row r="75" ht="13.5" customHeight="1">
      <c r="A75" s="165"/>
      <c r="B75" s="166"/>
      <c r="C75" s="167"/>
      <c r="D75" s="168" t="s">
        <v>2118</v>
      </c>
      <c r="E75" s="169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3" t="s">
        <v>742</v>
      </c>
    </row>
    <row r="76" ht="13.5" customHeight="1">
      <c r="A76" s="165"/>
      <c r="B76" s="166" t="s">
        <v>854</v>
      </c>
      <c r="C76" s="167"/>
      <c r="D76" s="168"/>
      <c r="E76" s="169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3"/>
    </row>
    <row r="77" ht="13.5" customHeight="1">
      <c r="A77" s="165"/>
      <c r="B77" s="170"/>
      <c r="C77" s="171"/>
      <c r="D77" s="172"/>
      <c r="E77" s="173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5"/>
    </row>
    <row r="78" ht="13.5" customHeight="1">
      <c r="A78" s="160" t="s">
        <v>865</v>
      </c>
      <c r="B78" s="176" t="s">
        <v>866</v>
      </c>
      <c r="C78" s="177"/>
      <c r="D78" s="178"/>
      <c r="E78" s="179"/>
      <c r="F78" s="180" t="s">
        <v>54</v>
      </c>
      <c r="G78" s="180" t="s">
        <v>55</v>
      </c>
      <c r="H78" s="180" t="s">
        <v>57</v>
      </c>
      <c r="I78" s="180" t="s">
        <v>55</v>
      </c>
      <c r="J78" s="180" t="s">
        <v>54</v>
      </c>
      <c r="K78" s="180" t="s">
        <v>54</v>
      </c>
      <c r="L78" s="180" t="s">
        <v>54</v>
      </c>
      <c r="M78" s="180" t="s">
        <v>55</v>
      </c>
      <c r="N78" s="180" t="s">
        <v>55</v>
      </c>
      <c r="O78" s="180" t="s">
        <v>55</v>
      </c>
      <c r="P78" s="180" t="s">
        <v>55</v>
      </c>
      <c r="Q78" s="180" t="s">
        <v>55</v>
      </c>
      <c r="R78" s="180" t="s">
        <v>57</v>
      </c>
      <c r="S78" s="180" t="s">
        <v>54</v>
      </c>
      <c r="T78" s="180" t="s">
        <v>55</v>
      </c>
      <c r="U78" s="180" t="s">
        <v>55</v>
      </c>
      <c r="V78" s="180" t="s">
        <v>55</v>
      </c>
      <c r="W78" s="180" t="s">
        <v>54</v>
      </c>
      <c r="X78" s="180" t="s">
        <v>54</v>
      </c>
      <c r="Y78" s="180" t="s">
        <v>55</v>
      </c>
      <c r="Z78" s="180" t="s">
        <v>57</v>
      </c>
      <c r="AA78" s="180" t="s">
        <v>57</v>
      </c>
      <c r="AB78" s="180" t="s">
        <v>57</v>
      </c>
      <c r="AC78" s="181" t="s">
        <v>55</v>
      </c>
    </row>
    <row r="79" ht="13.5" customHeight="1">
      <c r="A79" s="165"/>
      <c r="B79" s="182" t="s">
        <v>867</v>
      </c>
      <c r="C79" s="27"/>
      <c r="D79" s="25"/>
      <c r="E79" s="183"/>
      <c r="F79" s="184" t="s">
        <v>868</v>
      </c>
      <c r="G79" s="184" t="s">
        <v>868</v>
      </c>
      <c r="H79" s="184" t="s">
        <v>868</v>
      </c>
      <c r="I79" s="184" t="s">
        <v>868</v>
      </c>
      <c r="J79" s="184" t="s">
        <v>868</v>
      </c>
      <c r="K79" s="184" t="s">
        <v>868</v>
      </c>
      <c r="L79" s="184" t="s">
        <v>868</v>
      </c>
      <c r="M79" s="184" t="s">
        <v>868</v>
      </c>
      <c r="N79" s="184" t="s">
        <v>868</v>
      </c>
      <c r="O79" s="184" t="s">
        <v>868</v>
      </c>
      <c r="P79" s="184" t="s">
        <v>868</v>
      </c>
      <c r="Q79" s="184" t="s">
        <v>868</v>
      </c>
      <c r="R79" s="184" t="s">
        <v>868</v>
      </c>
      <c r="S79" s="184" t="s">
        <v>868</v>
      </c>
      <c r="T79" s="184" t="s">
        <v>868</v>
      </c>
      <c r="U79" s="184" t="s">
        <v>868</v>
      </c>
      <c r="V79" s="184" t="s">
        <v>868</v>
      </c>
      <c r="W79" s="184" t="s">
        <v>868</v>
      </c>
      <c r="X79" s="184" t="s">
        <v>868</v>
      </c>
      <c r="Y79" s="184" t="s">
        <v>868</v>
      </c>
      <c r="Z79" s="184" t="s">
        <v>868</v>
      </c>
      <c r="AA79" s="184" t="s">
        <v>868</v>
      </c>
      <c r="AB79" s="184" t="s">
        <v>868</v>
      </c>
      <c r="AC79" s="185" t="s">
        <v>868</v>
      </c>
    </row>
    <row r="80" ht="99.75" customHeight="1">
      <c r="A80" s="165"/>
      <c r="B80" s="186" t="s">
        <v>869</v>
      </c>
      <c r="C80" s="27"/>
      <c r="D80" s="25"/>
      <c r="E80" s="169"/>
      <c r="F80" s="187">
        <v>46272.0</v>
      </c>
      <c r="G80" s="187">
        <v>46272.0</v>
      </c>
      <c r="H80" s="187">
        <v>46272.0</v>
      </c>
      <c r="I80" s="187">
        <v>46272.0</v>
      </c>
      <c r="J80" s="187">
        <v>46272.0</v>
      </c>
      <c r="K80" s="187">
        <v>46272.0</v>
      </c>
      <c r="L80" s="187">
        <v>46272.0</v>
      </c>
      <c r="M80" s="187">
        <v>46272.0</v>
      </c>
      <c r="N80" s="187">
        <v>46272.0</v>
      </c>
      <c r="O80" s="187">
        <v>46272.0</v>
      </c>
      <c r="P80" s="187">
        <v>46272.0</v>
      </c>
      <c r="Q80" s="187">
        <v>46272.0</v>
      </c>
      <c r="R80" s="187">
        <v>46272.0</v>
      </c>
      <c r="S80" s="187">
        <v>46272.0</v>
      </c>
      <c r="T80" s="187">
        <v>46272.0</v>
      </c>
      <c r="U80" s="187">
        <v>46272.0</v>
      </c>
      <c r="V80" s="187">
        <v>46272.0</v>
      </c>
      <c r="W80" s="187">
        <v>46272.0</v>
      </c>
      <c r="X80" s="187">
        <v>46272.0</v>
      </c>
      <c r="Y80" s="187">
        <v>46272.0</v>
      </c>
      <c r="Z80" s="187">
        <v>46272.0</v>
      </c>
      <c r="AA80" s="187">
        <v>46272.0</v>
      </c>
      <c r="AB80" s="187">
        <v>46272.0</v>
      </c>
      <c r="AC80" s="189">
        <v>46272.0</v>
      </c>
    </row>
    <row r="81" ht="72.75" customHeight="1">
      <c r="A81" s="190"/>
      <c r="B81" s="191" t="s">
        <v>870</v>
      </c>
      <c r="C81" s="192"/>
      <c r="D81" s="193"/>
      <c r="E81" s="194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6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AC4"/>
    <mergeCell ref="C5:AC5"/>
    <mergeCell ref="A2:B2"/>
    <mergeCell ref="C2:E2"/>
    <mergeCell ref="F2:K2"/>
    <mergeCell ref="L2:AC2"/>
    <mergeCell ref="C3:E3"/>
    <mergeCell ref="F3:K3"/>
    <mergeCell ref="L3:AC3"/>
    <mergeCell ref="F6:K6"/>
    <mergeCell ref="L6:N6"/>
    <mergeCell ref="O6:AC6"/>
    <mergeCell ref="A7:B7"/>
    <mergeCell ref="C7:E7"/>
    <mergeCell ref="F7:K7"/>
    <mergeCell ref="O7:AC7"/>
    <mergeCell ref="B78:D78"/>
    <mergeCell ref="B79:D79"/>
    <mergeCell ref="B80:D80"/>
    <mergeCell ref="B81:D81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419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374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60.0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2099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COUNTIF(F50:T50,"P")</f>
        <v>15</v>
      </c>
      <c r="B7" s="130"/>
      <c r="C7" s="131">
        <f>COUNTIF(F50:T50,"F")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COUNTIF(F49:T49,"N")</f>
        <v>8</v>
      </c>
      <c r="M7" s="132">
        <f>COUNTIF(F49:T49,"A")</f>
        <v>5</v>
      </c>
      <c r="N7" s="132">
        <f>COUNTIF(F49:T49,"B")</f>
        <v>2</v>
      </c>
      <c r="O7" s="133">
        <f>COUNTA(F9:T9)</f>
        <v>15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40" t="s">
        <v>730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2107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2109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1404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 t="s">
        <v>742</v>
      </c>
      <c r="R13" s="152"/>
      <c r="S13" s="152"/>
      <c r="T13" s="153"/>
    </row>
    <row r="14" ht="13.5" customHeight="1">
      <c r="A14" s="148"/>
      <c r="B14" s="149"/>
      <c r="C14" s="150"/>
      <c r="D14" s="151" t="s">
        <v>1957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2112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2114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2116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2117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2119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2120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 t="s">
        <v>742</v>
      </c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2121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 t="s">
        <v>742</v>
      </c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2122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 t="s">
        <v>742</v>
      </c>
      <c r="S22" s="152"/>
      <c r="T22" s="153"/>
    </row>
    <row r="23" ht="13.5" customHeight="1">
      <c r="A23" s="148"/>
      <c r="B23" s="149"/>
      <c r="C23" s="150"/>
      <c r="D23" s="151" t="s">
        <v>2123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 t="s">
        <v>742</v>
      </c>
      <c r="T23" s="153"/>
    </row>
    <row r="24" ht="13.5" customHeight="1">
      <c r="A24" s="148"/>
      <c r="B24" s="149"/>
      <c r="C24" s="150"/>
      <c r="D24" s="151" t="s">
        <v>2124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 t="s">
        <v>742</v>
      </c>
    </row>
    <row r="25" ht="13.5" customHeight="1">
      <c r="A25" s="148"/>
      <c r="B25" s="149" t="s">
        <v>768</v>
      </c>
      <c r="C25" s="150"/>
      <c r="D25" s="151"/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2125</v>
      </c>
      <c r="E26" s="145"/>
      <c r="F26" s="152" t="s">
        <v>742</v>
      </c>
      <c r="G26" s="152" t="s">
        <v>742</v>
      </c>
      <c r="H26" s="152"/>
      <c r="I26" s="152"/>
      <c r="J26" s="152" t="s">
        <v>742</v>
      </c>
      <c r="K26" s="152" t="s">
        <v>742</v>
      </c>
      <c r="L26" s="152" t="s">
        <v>742</v>
      </c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2127</v>
      </c>
      <c r="E27" s="145"/>
      <c r="F27" s="152"/>
      <c r="G27" s="152"/>
      <c r="H27" s="152" t="s">
        <v>742</v>
      </c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2128</v>
      </c>
      <c r="E28" s="145"/>
      <c r="F28" s="152"/>
      <c r="G28" s="152"/>
      <c r="H28" s="152"/>
      <c r="I28" s="152" t="s">
        <v>742</v>
      </c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2129</v>
      </c>
      <c r="E29" s="145"/>
      <c r="F29" s="152"/>
      <c r="G29" s="152"/>
      <c r="H29" s="152"/>
      <c r="I29" s="152"/>
      <c r="J29" s="152"/>
      <c r="K29" s="152"/>
      <c r="L29" s="152"/>
      <c r="M29" s="152" t="s">
        <v>742</v>
      </c>
      <c r="N29" s="152" t="s">
        <v>742</v>
      </c>
      <c r="O29" s="152"/>
      <c r="P29" s="152" t="s">
        <v>742</v>
      </c>
      <c r="Q29" s="152"/>
      <c r="R29" s="152" t="s">
        <v>742</v>
      </c>
      <c r="S29" s="152" t="s">
        <v>742</v>
      </c>
      <c r="T29" s="153" t="s">
        <v>742</v>
      </c>
    </row>
    <row r="30" ht="13.5" customHeight="1">
      <c r="A30" s="148"/>
      <c r="B30" s="149"/>
      <c r="C30" s="150"/>
      <c r="D30" s="151" t="s">
        <v>2130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 t="s">
        <v>742</v>
      </c>
      <c r="P30" s="152"/>
      <c r="Q30" s="152"/>
      <c r="R30" s="152"/>
      <c r="S30" s="152"/>
      <c r="T30" s="153"/>
    </row>
    <row r="31" ht="13.5" customHeight="1">
      <c r="A31" s="148"/>
      <c r="B31" s="149"/>
      <c r="C31" s="150"/>
      <c r="D31" s="151" t="s">
        <v>2131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 t="s">
        <v>742</v>
      </c>
      <c r="R31" s="152"/>
      <c r="S31" s="152"/>
      <c r="T31" s="153"/>
    </row>
    <row r="32" ht="13.5" customHeight="1">
      <c r="A32" s="148"/>
      <c r="B32" s="154"/>
      <c r="C32" s="155"/>
      <c r="D32" s="156"/>
      <c r="E32" s="157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9"/>
    </row>
    <row r="33" ht="13.5" customHeight="1">
      <c r="A33" s="160" t="s">
        <v>802</v>
      </c>
      <c r="B33" s="161" t="s">
        <v>804</v>
      </c>
      <c r="C33" s="162"/>
      <c r="D33" s="163"/>
      <c r="E33" s="164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7"/>
    </row>
    <row r="34" ht="13.5" customHeight="1">
      <c r="A34" s="165"/>
      <c r="B34" s="166"/>
      <c r="C34" s="167"/>
      <c r="D34" s="168" t="s">
        <v>2132</v>
      </c>
      <c r="E34" s="169"/>
      <c r="F34" s="152" t="s">
        <v>742</v>
      </c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2133</v>
      </c>
      <c r="E35" s="169"/>
      <c r="F35" s="152"/>
      <c r="G35" s="152" t="s">
        <v>742</v>
      </c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2135</v>
      </c>
      <c r="E36" s="169"/>
      <c r="F36" s="152"/>
      <c r="G36" s="152"/>
      <c r="H36" s="152"/>
      <c r="I36" s="152"/>
      <c r="J36" s="152" t="s">
        <v>742</v>
      </c>
      <c r="K36" s="152"/>
      <c r="L36" s="152"/>
      <c r="M36" s="152"/>
      <c r="N36" s="152"/>
      <c r="O36" s="152"/>
      <c r="P36" s="152"/>
      <c r="Q36" s="152"/>
      <c r="R36" s="152" t="s">
        <v>742</v>
      </c>
      <c r="S36" s="152"/>
      <c r="T36" s="153"/>
    </row>
    <row r="37" ht="13.5" customHeight="1">
      <c r="A37" s="165"/>
      <c r="B37" s="166"/>
      <c r="C37" s="167"/>
      <c r="D37" s="168" t="s">
        <v>2136</v>
      </c>
      <c r="E37" s="169"/>
      <c r="F37" s="152"/>
      <c r="G37" s="152"/>
      <c r="H37" s="152"/>
      <c r="I37" s="152"/>
      <c r="J37" s="152"/>
      <c r="K37" s="152" t="s">
        <v>742</v>
      </c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2137</v>
      </c>
      <c r="E38" s="169"/>
      <c r="F38" s="152"/>
      <c r="G38" s="152"/>
      <c r="H38" s="152"/>
      <c r="I38" s="152"/>
      <c r="J38" s="152"/>
      <c r="K38" s="152"/>
      <c r="L38" s="152" t="s">
        <v>742</v>
      </c>
      <c r="M38" s="152"/>
      <c r="N38" s="152"/>
      <c r="O38" s="152"/>
      <c r="P38" s="152"/>
      <c r="Q38" s="152"/>
      <c r="R38" s="152"/>
      <c r="S38" s="152"/>
      <c r="T38" s="153" t="s">
        <v>742</v>
      </c>
    </row>
    <row r="39" ht="13.5" customHeight="1">
      <c r="A39" s="165"/>
      <c r="B39" s="166"/>
      <c r="C39" s="167"/>
      <c r="D39" s="168" t="s">
        <v>2138</v>
      </c>
      <c r="E39" s="169"/>
      <c r="F39" s="152"/>
      <c r="G39" s="152"/>
      <c r="H39" s="152"/>
      <c r="I39" s="152"/>
      <c r="J39" s="152"/>
      <c r="K39" s="152"/>
      <c r="L39" s="152"/>
      <c r="M39" s="152" t="s">
        <v>742</v>
      </c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2139</v>
      </c>
      <c r="E40" s="169"/>
      <c r="F40" s="152"/>
      <c r="G40" s="152"/>
      <c r="H40" s="152"/>
      <c r="I40" s="152"/>
      <c r="J40" s="152"/>
      <c r="K40" s="152"/>
      <c r="L40" s="152"/>
      <c r="M40" s="152"/>
      <c r="N40" s="152" t="s">
        <v>742</v>
      </c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2140</v>
      </c>
      <c r="E41" s="169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 t="s">
        <v>742</v>
      </c>
      <c r="T41" s="153"/>
    </row>
    <row r="42" ht="13.5" customHeight="1">
      <c r="A42" s="165"/>
      <c r="B42" s="166" t="s">
        <v>825</v>
      </c>
      <c r="C42" s="167"/>
      <c r="D42" s="168"/>
      <c r="E42" s="169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2141</v>
      </c>
      <c r="E43" s="169"/>
      <c r="F43" s="152"/>
      <c r="G43" s="152"/>
      <c r="H43" s="152" t="s">
        <v>742</v>
      </c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2035</v>
      </c>
      <c r="E44" s="169"/>
      <c r="F44" s="152"/>
      <c r="G44" s="152"/>
      <c r="H44" s="152"/>
      <c r="I44" s="152" t="s">
        <v>742</v>
      </c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3"/>
    </row>
    <row r="45" ht="13.5" customHeight="1">
      <c r="A45" s="165"/>
      <c r="B45" s="166"/>
      <c r="C45" s="167"/>
      <c r="D45" s="168" t="s">
        <v>2142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 t="s">
        <v>742</v>
      </c>
      <c r="P45" s="152" t="s">
        <v>742</v>
      </c>
      <c r="Q45" s="152"/>
      <c r="R45" s="152"/>
      <c r="S45" s="152"/>
      <c r="T45" s="153"/>
    </row>
    <row r="46" ht="13.5" customHeight="1">
      <c r="A46" s="165"/>
      <c r="B46" s="166"/>
      <c r="C46" s="167"/>
      <c r="D46" s="168" t="s">
        <v>2143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 t="s">
        <v>742</v>
      </c>
      <c r="R46" s="152"/>
      <c r="S46" s="152"/>
      <c r="T46" s="153"/>
    </row>
    <row r="47" ht="13.5" customHeight="1">
      <c r="A47" s="165"/>
      <c r="B47" s="166" t="s">
        <v>854</v>
      </c>
      <c r="C47" s="167"/>
      <c r="D47" s="168"/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3"/>
    </row>
    <row r="48" ht="13.5" customHeight="1">
      <c r="A48" s="165"/>
      <c r="B48" s="170"/>
      <c r="C48" s="171"/>
      <c r="D48" s="172"/>
      <c r="E48" s="173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5"/>
    </row>
    <row r="49" ht="13.5" customHeight="1">
      <c r="A49" s="160" t="s">
        <v>865</v>
      </c>
      <c r="B49" s="176" t="s">
        <v>866</v>
      </c>
      <c r="C49" s="177"/>
      <c r="D49" s="178"/>
      <c r="E49" s="179"/>
      <c r="F49" s="180" t="s">
        <v>54</v>
      </c>
      <c r="G49" s="180" t="s">
        <v>54</v>
      </c>
      <c r="H49" s="180" t="s">
        <v>55</v>
      </c>
      <c r="I49" s="180" t="s">
        <v>55</v>
      </c>
      <c r="J49" s="180" t="s">
        <v>54</v>
      </c>
      <c r="K49" s="180" t="s">
        <v>54</v>
      </c>
      <c r="L49" s="180" t="s">
        <v>57</v>
      </c>
      <c r="M49" s="180" t="s">
        <v>54</v>
      </c>
      <c r="N49" s="180" t="s">
        <v>54</v>
      </c>
      <c r="O49" s="180" t="s">
        <v>55</v>
      </c>
      <c r="P49" s="180" t="s">
        <v>55</v>
      </c>
      <c r="Q49" s="180" t="s">
        <v>55</v>
      </c>
      <c r="R49" s="180" t="s">
        <v>54</v>
      </c>
      <c r="S49" s="180" t="s">
        <v>54</v>
      </c>
      <c r="T49" s="181" t="s">
        <v>57</v>
      </c>
    </row>
    <row r="50" ht="13.5" customHeight="1">
      <c r="A50" s="165"/>
      <c r="B50" s="182" t="s">
        <v>867</v>
      </c>
      <c r="C50" s="27"/>
      <c r="D50" s="25"/>
      <c r="E50" s="183"/>
      <c r="F50" s="184" t="s">
        <v>868</v>
      </c>
      <c r="G50" s="184" t="s">
        <v>868</v>
      </c>
      <c r="H50" s="184" t="s">
        <v>868</v>
      </c>
      <c r="I50" s="184" t="s">
        <v>868</v>
      </c>
      <c r="J50" s="184" t="s">
        <v>868</v>
      </c>
      <c r="K50" s="184" t="s">
        <v>868</v>
      </c>
      <c r="L50" s="184" t="s">
        <v>868</v>
      </c>
      <c r="M50" s="184" t="s">
        <v>868</v>
      </c>
      <c r="N50" s="184" t="s">
        <v>868</v>
      </c>
      <c r="O50" s="184" t="s">
        <v>868</v>
      </c>
      <c r="P50" s="184" t="s">
        <v>868</v>
      </c>
      <c r="Q50" s="184" t="s">
        <v>868</v>
      </c>
      <c r="R50" s="184" t="s">
        <v>868</v>
      </c>
      <c r="S50" s="184" t="s">
        <v>868</v>
      </c>
      <c r="T50" s="185" t="s">
        <v>868</v>
      </c>
    </row>
    <row r="51" ht="99.75" customHeight="1">
      <c r="A51" s="165"/>
      <c r="B51" s="186" t="s">
        <v>869</v>
      </c>
      <c r="C51" s="27"/>
      <c r="D51" s="25"/>
      <c r="E51" s="169"/>
      <c r="F51" s="187">
        <v>46269.0</v>
      </c>
      <c r="G51" s="187">
        <v>46269.0</v>
      </c>
      <c r="H51" s="187">
        <v>46269.0</v>
      </c>
      <c r="I51" s="187">
        <v>46269.0</v>
      </c>
      <c r="J51" s="187">
        <v>46269.0</v>
      </c>
      <c r="K51" s="187">
        <v>46269.0</v>
      </c>
      <c r="L51" s="187">
        <v>46269.0</v>
      </c>
      <c r="M51" s="187">
        <v>46269.0</v>
      </c>
      <c r="N51" s="187">
        <v>46269.0</v>
      </c>
      <c r="O51" s="187">
        <v>46269.0</v>
      </c>
      <c r="P51" s="187">
        <v>46269.0</v>
      </c>
      <c r="Q51" s="187">
        <v>46269.0</v>
      </c>
      <c r="R51" s="187">
        <v>46269.0</v>
      </c>
      <c r="S51" s="187">
        <v>46269.0</v>
      </c>
      <c r="T51" s="189">
        <v>46269.0</v>
      </c>
    </row>
    <row r="52" ht="72.75" customHeight="1">
      <c r="A52" s="190"/>
      <c r="B52" s="191" t="s">
        <v>870</v>
      </c>
      <c r="C52" s="192"/>
      <c r="D52" s="193"/>
      <c r="E52" s="194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6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9:D49"/>
    <mergeCell ref="B50:D50"/>
    <mergeCell ref="B51:D51"/>
    <mergeCell ref="B52:D52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9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</row>
    <row r="2" ht="13.5" customHeight="1">
      <c r="A2" s="111" t="s">
        <v>707</v>
      </c>
      <c r="B2" s="112"/>
      <c r="C2" s="113" t="s">
        <v>430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382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ht="13.5" customHeight="1">
      <c r="A4" s="117" t="s">
        <v>711</v>
      </c>
      <c r="B4" s="27"/>
      <c r="C4" s="122">
        <v>46.0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ht="13.5" customHeight="1">
      <c r="A5" s="117" t="s">
        <v>713</v>
      </c>
      <c r="B5" s="27"/>
      <c r="C5" s="124" t="s">
        <v>2126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ht="13.5" customHeight="1">
      <c r="A7" s="129">
        <f>COUNTIF(F69:AC69,"P")</f>
        <v>24</v>
      </c>
      <c r="B7" s="130"/>
      <c r="C7" s="131">
        <f>COUNTIF(F69:AC69,"F")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COUNTIF(F68:AC68,"N")</f>
        <v>8</v>
      </c>
      <c r="M7" s="132">
        <f>COUNTIF(F68:AC68,"A")</f>
        <v>6</v>
      </c>
      <c r="N7" s="132">
        <f>COUNTIF(F68:AC68,"B")</f>
        <v>10</v>
      </c>
      <c r="O7" s="133">
        <f>COUNTA(F9:AC9)</f>
        <v>24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39" t="s">
        <v>736</v>
      </c>
      <c r="AA9" s="139" t="s">
        <v>737</v>
      </c>
      <c r="AB9" s="139" t="s">
        <v>738</v>
      </c>
      <c r="AC9" s="140" t="s">
        <v>876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7"/>
    </row>
    <row r="11" ht="13.5" customHeight="1">
      <c r="A11" s="148"/>
      <c r="B11" s="149"/>
      <c r="C11" s="150"/>
      <c r="D11" s="151" t="s">
        <v>1403</v>
      </c>
      <c r="E11" s="145"/>
      <c r="F11" s="152" t="s">
        <v>742</v>
      </c>
      <c r="G11" s="152" t="s">
        <v>742</v>
      </c>
      <c r="H11" s="152"/>
      <c r="I11" s="152" t="s">
        <v>742</v>
      </c>
      <c r="J11" s="152" t="s">
        <v>742</v>
      </c>
      <c r="K11" s="152" t="s">
        <v>742</v>
      </c>
      <c r="L11" s="152" t="s">
        <v>742</v>
      </c>
      <c r="M11" s="152"/>
      <c r="N11" s="152"/>
      <c r="O11" s="152"/>
      <c r="P11" s="152" t="s">
        <v>742</v>
      </c>
      <c r="Q11" s="152" t="s">
        <v>742</v>
      </c>
      <c r="R11" s="152" t="s">
        <v>742</v>
      </c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3"/>
    </row>
    <row r="12" ht="13.5" customHeight="1">
      <c r="A12" s="148"/>
      <c r="B12" s="149"/>
      <c r="C12" s="150"/>
      <c r="D12" s="151" t="s">
        <v>2144</v>
      </c>
      <c r="E12" s="145"/>
      <c r="F12" s="152"/>
      <c r="G12" s="152"/>
      <c r="H12" s="152" t="s">
        <v>742</v>
      </c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3"/>
    </row>
    <row r="13" ht="13.5" customHeight="1">
      <c r="A13" s="148"/>
      <c r="B13" s="149"/>
      <c r="C13" s="150"/>
      <c r="D13" s="151" t="s">
        <v>2145</v>
      </c>
      <c r="E13" s="145"/>
      <c r="F13" s="152"/>
      <c r="G13" s="152"/>
      <c r="H13" s="152"/>
      <c r="I13" s="152"/>
      <c r="J13" s="152"/>
      <c r="K13" s="152"/>
      <c r="L13" s="152"/>
      <c r="M13" s="152" t="s">
        <v>742</v>
      </c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3"/>
    </row>
    <row r="14" ht="13.5" customHeight="1">
      <c r="A14" s="148"/>
      <c r="B14" s="149"/>
      <c r="C14" s="150"/>
      <c r="D14" s="151" t="s">
        <v>1190</v>
      </c>
      <c r="E14" s="145"/>
      <c r="F14" s="152"/>
      <c r="G14" s="152"/>
      <c r="H14" s="152"/>
      <c r="I14" s="152"/>
      <c r="J14" s="152"/>
      <c r="K14" s="152"/>
      <c r="L14" s="152"/>
      <c r="M14" s="152"/>
      <c r="N14" s="152" t="s">
        <v>742</v>
      </c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3" t="s">
        <v>742</v>
      </c>
    </row>
    <row r="15" ht="13.5" customHeight="1">
      <c r="A15" s="148"/>
      <c r="B15" s="149"/>
      <c r="C15" s="150"/>
      <c r="D15" s="151" t="s">
        <v>2146</v>
      </c>
      <c r="E15" s="145"/>
      <c r="F15" s="152"/>
      <c r="G15" s="152"/>
      <c r="H15" s="152"/>
      <c r="I15" s="152"/>
      <c r="J15" s="152"/>
      <c r="K15" s="152"/>
      <c r="L15" s="152"/>
      <c r="M15" s="152"/>
      <c r="N15" s="152"/>
      <c r="O15" s="152" t="s">
        <v>742</v>
      </c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3"/>
    </row>
    <row r="16" ht="13.5" customHeight="1">
      <c r="A16" s="148"/>
      <c r="B16" s="149"/>
      <c r="C16" s="150"/>
      <c r="D16" s="151" t="s">
        <v>1405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 t="s">
        <v>742</v>
      </c>
      <c r="T16" s="152"/>
      <c r="U16" s="152"/>
      <c r="V16" s="152"/>
      <c r="W16" s="152"/>
      <c r="X16" s="152"/>
      <c r="Y16" s="152"/>
      <c r="Z16" s="152"/>
      <c r="AA16" s="152"/>
      <c r="AB16" s="152"/>
      <c r="AC16" s="153"/>
    </row>
    <row r="17" ht="13.5" customHeight="1">
      <c r="A17" s="148"/>
      <c r="B17" s="149"/>
      <c r="C17" s="150"/>
      <c r="D17" s="151" t="s">
        <v>2148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 t="s">
        <v>742</v>
      </c>
      <c r="U17" s="152" t="s">
        <v>742</v>
      </c>
      <c r="V17" s="152" t="s">
        <v>742</v>
      </c>
      <c r="W17" s="152" t="s">
        <v>742</v>
      </c>
      <c r="X17" s="152" t="s">
        <v>742</v>
      </c>
      <c r="Y17" s="152" t="s">
        <v>742</v>
      </c>
      <c r="Z17" s="152" t="s">
        <v>742</v>
      </c>
      <c r="AA17" s="152" t="s">
        <v>742</v>
      </c>
      <c r="AB17" s="152"/>
      <c r="AC17" s="153"/>
    </row>
    <row r="18" ht="13.5" customHeight="1">
      <c r="A18" s="148"/>
      <c r="B18" s="149"/>
      <c r="C18" s="150"/>
      <c r="D18" s="151" t="s">
        <v>2150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 t="s">
        <v>742</v>
      </c>
      <c r="AC18" s="153"/>
    </row>
    <row r="19" ht="13.5" customHeight="1">
      <c r="A19" s="148"/>
      <c r="B19" s="149" t="s">
        <v>768</v>
      </c>
      <c r="C19" s="150"/>
      <c r="D19" s="151"/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3"/>
    </row>
    <row r="20" ht="13.5" customHeight="1">
      <c r="A20" s="148"/>
      <c r="B20" s="149"/>
      <c r="C20" s="150"/>
      <c r="D20" s="151" t="s">
        <v>2153</v>
      </c>
      <c r="E20" s="145"/>
      <c r="F20" s="152" t="s">
        <v>742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3"/>
    </row>
    <row r="21" ht="13.5" customHeight="1">
      <c r="A21" s="148"/>
      <c r="B21" s="149"/>
      <c r="C21" s="150"/>
      <c r="D21" s="151" t="s">
        <v>2156</v>
      </c>
      <c r="E21" s="145"/>
      <c r="F21" s="152"/>
      <c r="G21" s="152" t="s">
        <v>742</v>
      </c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3"/>
    </row>
    <row r="22" ht="13.5" customHeight="1">
      <c r="A22" s="148"/>
      <c r="B22" s="149"/>
      <c r="C22" s="150"/>
      <c r="D22" s="151" t="s">
        <v>2159</v>
      </c>
      <c r="E22" s="145"/>
      <c r="F22" s="152"/>
      <c r="G22" s="152"/>
      <c r="H22" s="152" t="s">
        <v>742</v>
      </c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3"/>
    </row>
    <row r="23" ht="13.5" customHeight="1">
      <c r="A23" s="148"/>
      <c r="B23" s="149"/>
      <c r="C23" s="150"/>
      <c r="D23" s="151" t="s">
        <v>2160</v>
      </c>
      <c r="E23" s="145"/>
      <c r="F23" s="152"/>
      <c r="G23" s="152"/>
      <c r="H23" s="152"/>
      <c r="I23" s="152" t="s">
        <v>742</v>
      </c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3"/>
    </row>
    <row r="24" ht="13.5" customHeight="1">
      <c r="A24" s="148"/>
      <c r="B24" s="149"/>
      <c r="C24" s="150"/>
      <c r="D24" s="151" t="s">
        <v>2161</v>
      </c>
      <c r="E24" s="145"/>
      <c r="F24" s="152"/>
      <c r="G24" s="152"/>
      <c r="H24" s="152"/>
      <c r="I24" s="152"/>
      <c r="J24" s="152" t="s">
        <v>742</v>
      </c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3"/>
    </row>
    <row r="25" ht="13.5" customHeight="1">
      <c r="A25" s="148"/>
      <c r="B25" s="149"/>
      <c r="C25" s="150"/>
      <c r="D25" s="151" t="s">
        <v>2163</v>
      </c>
      <c r="E25" s="145"/>
      <c r="F25" s="152"/>
      <c r="G25" s="152"/>
      <c r="H25" s="152"/>
      <c r="I25" s="152"/>
      <c r="J25" s="152"/>
      <c r="K25" s="152" t="s">
        <v>742</v>
      </c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3"/>
    </row>
    <row r="26" ht="13.5" customHeight="1">
      <c r="A26" s="148"/>
      <c r="B26" s="149"/>
      <c r="C26" s="150"/>
      <c r="D26" s="151" t="s">
        <v>2165</v>
      </c>
      <c r="E26" s="145"/>
      <c r="F26" s="152"/>
      <c r="G26" s="152"/>
      <c r="H26" s="152"/>
      <c r="I26" s="152"/>
      <c r="J26" s="152"/>
      <c r="K26" s="152"/>
      <c r="L26" s="152" t="s">
        <v>742</v>
      </c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3"/>
    </row>
    <row r="27" ht="13.5" customHeight="1">
      <c r="A27" s="148"/>
      <c r="B27" s="149"/>
      <c r="C27" s="150"/>
      <c r="D27" s="151" t="s">
        <v>2167</v>
      </c>
      <c r="E27" s="145"/>
      <c r="F27" s="152"/>
      <c r="G27" s="152"/>
      <c r="H27" s="152"/>
      <c r="I27" s="152"/>
      <c r="J27" s="152"/>
      <c r="K27" s="152"/>
      <c r="L27" s="152"/>
      <c r="M27" s="152" t="s">
        <v>742</v>
      </c>
      <c r="N27" s="152"/>
      <c r="O27" s="152"/>
      <c r="P27" s="152"/>
      <c r="Q27" s="152"/>
      <c r="R27" s="152"/>
      <c r="S27" s="152" t="s">
        <v>742</v>
      </c>
      <c r="T27" s="152"/>
      <c r="U27" s="152"/>
      <c r="V27" s="152"/>
      <c r="W27" s="152"/>
      <c r="X27" s="152"/>
      <c r="Y27" s="152"/>
      <c r="Z27" s="152"/>
      <c r="AA27" s="152"/>
      <c r="AB27" s="152"/>
      <c r="AC27" s="153"/>
    </row>
    <row r="28" ht="13.5" customHeight="1">
      <c r="A28" s="148"/>
      <c r="B28" s="149"/>
      <c r="C28" s="150"/>
      <c r="D28" s="151" t="s">
        <v>1095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 t="s">
        <v>742</v>
      </c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3" t="s">
        <v>742</v>
      </c>
    </row>
    <row r="29" ht="13.5" customHeight="1">
      <c r="A29" s="148"/>
      <c r="B29" s="149"/>
      <c r="C29" s="150"/>
      <c r="D29" s="151" t="s">
        <v>2171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 t="s">
        <v>742</v>
      </c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3"/>
    </row>
    <row r="30" ht="13.5" customHeight="1">
      <c r="A30" s="148"/>
      <c r="B30" s="149"/>
      <c r="C30" s="150"/>
      <c r="D30" s="151" t="s">
        <v>2173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 t="s">
        <v>742</v>
      </c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3"/>
    </row>
    <row r="31" ht="13.5" customHeight="1">
      <c r="A31" s="148"/>
      <c r="B31" s="149"/>
      <c r="C31" s="150"/>
      <c r="D31" s="151" t="s">
        <v>2174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 t="s">
        <v>742</v>
      </c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3"/>
    </row>
    <row r="32" ht="13.5" customHeight="1">
      <c r="A32" s="148"/>
      <c r="B32" s="149"/>
      <c r="C32" s="150"/>
      <c r="D32" s="151" t="s">
        <v>2175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 t="s">
        <v>742</v>
      </c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3"/>
    </row>
    <row r="33" ht="13.5" customHeight="1">
      <c r="A33" s="148"/>
      <c r="B33" s="149"/>
      <c r="C33" s="150"/>
      <c r="D33" s="151" t="s">
        <v>2176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 t="s">
        <v>742</v>
      </c>
      <c r="U33" s="152"/>
      <c r="V33" s="152"/>
      <c r="W33" s="152"/>
      <c r="X33" s="152"/>
      <c r="Y33" s="152"/>
      <c r="Z33" s="152"/>
      <c r="AA33" s="152"/>
      <c r="AB33" s="152"/>
      <c r="AC33" s="153"/>
    </row>
    <row r="34" ht="13.5" customHeight="1">
      <c r="A34" s="148"/>
      <c r="B34" s="149"/>
      <c r="C34" s="150"/>
      <c r="D34" s="151" t="s">
        <v>2177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 t="s">
        <v>742</v>
      </c>
      <c r="V34" s="152"/>
      <c r="W34" s="152"/>
      <c r="X34" s="152"/>
      <c r="Y34" s="152"/>
      <c r="Z34" s="152"/>
      <c r="AA34" s="152"/>
      <c r="AB34" s="152"/>
      <c r="AC34" s="153"/>
    </row>
    <row r="35" ht="13.5" customHeight="1">
      <c r="A35" s="148"/>
      <c r="B35" s="149"/>
      <c r="C35" s="150"/>
      <c r="D35" s="151" t="s">
        <v>2178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 t="s">
        <v>742</v>
      </c>
      <c r="W35" s="152"/>
      <c r="X35" s="152"/>
      <c r="Y35" s="152"/>
      <c r="Z35" s="152"/>
      <c r="AA35" s="152"/>
      <c r="AB35" s="152"/>
      <c r="AC35" s="153"/>
    </row>
    <row r="36" ht="13.5" customHeight="1">
      <c r="A36" s="148"/>
      <c r="B36" s="149"/>
      <c r="C36" s="150"/>
      <c r="D36" s="151" t="s">
        <v>2179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 t="s">
        <v>742</v>
      </c>
      <c r="X36" s="152"/>
      <c r="Y36" s="152"/>
      <c r="Z36" s="152"/>
      <c r="AA36" s="152"/>
      <c r="AB36" s="152"/>
      <c r="AC36" s="153"/>
    </row>
    <row r="37" ht="13.5" customHeight="1">
      <c r="A37" s="148"/>
      <c r="B37" s="149"/>
      <c r="C37" s="150"/>
      <c r="D37" s="151" t="s">
        <v>2180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 t="s">
        <v>742</v>
      </c>
      <c r="Y37" s="152"/>
      <c r="Z37" s="152"/>
      <c r="AA37" s="152"/>
      <c r="AB37" s="152"/>
      <c r="AC37" s="153"/>
    </row>
    <row r="38" ht="13.5" customHeight="1">
      <c r="A38" s="148"/>
      <c r="B38" s="149"/>
      <c r="C38" s="150"/>
      <c r="D38" s="151" t="s">
        <v>2181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 t="s">
        <v>742</v>
      </c>
      <c r="Z38" s="152"/>
      <c r="AA38" s="152"/>
      <c r="AB38" s="152"/>
      <c r="AC38" s="153"/>
    </row>
    <row r="39" ht="13.5" customHeight="1">
      <c r="A39" s="148"/>
      <c r="B39" s="149"/>
      <c r="C39" s="150"/>
      <c r="D39" s="151" t="s">
        <v>2182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 t="s">
        <v>742</v>
      </c>
      <c r="AA39" s="152"/>
      <c r="AB39" s="152"/>
      <c r="AC39" s="153"/>
    </row>
    <row r="40" ht="13.5" customHeight="1">
      <c r="A40" s="148"/>
      <c r="B40" s="149"/>
      <c r="C40" s="150"/>
      <c r="D40" s="151" t="s">
        <v>2183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 t="s">
        <v>742</v>
      </c>
      <c r="AB40" s="152"/>
      <c r="AC40" s="153"/>
    </row>
    <row r="41" ht="13.5" customHeight="1">
      <c r="A41" s="148"/>
      <c r="B41" s="149"/>
      <c r="C41" s="150"/>
      <c r="D41" s="151" t="s">
        <v>793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 t="s">
        <v>742</v>
      </c>
      <c r="AC41" s="153"/>
    </row>
    <row r="42" ht="13.5" customHeight="1">
      <c r="A42" s="148"/>
      <c r="B42" s="154"/>
      <c r="C42" s="155"/>
      <c r="D42" s="156"/>
      <c r="E42" s="157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9"/>
    </row>
    <row r="43" ht="13.5" customHeight="1">
      <c r="A43" s="160" t="s">
        <v>802</v>
      </c>
      <c r="B43" s="161" t="s">
        <v>804</v>
      </c>
      <c r="C43" s="162"/>
      <c r="D43" s="163"/>
      <c r="E43" s="164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7"/>
    </row>
    <row r="44" ht="13.5" customHeight="1">
      <c r="A44" s="165"/>
      <c r="B44" s="166"/>
      <c r="C44" s="167"/>
      <c r="D44" s="168" t="s">
        <v>2184</v>
      </c>
      <c r="E44" s="169"/>
      <c r="F44" s="152" t="s">
        <v>742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3"/>
    </row>
    <row r="45" ht="13.5" customHeight="1">
      <c r="A45" s="165"/>
      <c r="B45" s="166"/>
      <c r="C45" s="167"/>
      <c r="D45" s="168" t="s">
        <v>2185</v>
      </c>
      <c r="E45" s="169"/>
      <c r="F45" s="152"/>
      <c r="G45" s="152" t="s">
        <v>742</v>
      </c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3"/>
    </row>
    <row r="46" ht="13.5" customHeight="1">
      <c r="A46" s="165"/>
      <c r="B46" s="166"/>
      <c r="C46" s="167"/>
      <c r="D46" s="168" t="s">
        <v>2186</v>
      </c>
      <c r="E46" s="169"/>
      <c r="F46" s="152"/>
      <c r="G46" s="152"/>
      <c r="H46" s="152" t="s">
        <v>742</v>
      </c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3"/>
    </row>
    <row r="47" ht="13.5" customHeight="1">
      <c r="A47" s="165"/>
      <c r="B47" s="166"/>
      <c r="C47" s="167"/>
      <c r="D47" s="168" t="s">
        <v>2187</v>
      </c>
      <c r="E47" s="169"/>
      <c r="F47" s="152"/>
      <c r="G47" s="152"/>
      <c r="H47" s="152"/>
      <c r="I47" s="152" t="s">
        <v>742</v>
      </c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3"/>
    </row>
    <row r="48" ht="13.5" customHeight="1">
      <c r="A48" s="165"/>
      <c r="B48" s="166"/>
      <c r="C48" s="167"/>
      <c r="D48" s="168" t="s">
        <v>2188</v>
      </c>
      <c r="E48" s="169"/>
      <c r="F48" s="152"/>
      <c r="G48" s="152"/>
      <c r="H48" s="152"/>
      <c r="I48" s="152"/>
      <c r="J48" s="152" t="s">
        <v>742</v>
      </c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3"/>
    </row>
    <row r="49" ht="13.5" customHeight="1">
      <c r="A49" s="165"/>
      <c r="B49" s="166"/>
      <c r="C49" s="167"/>
      <c r="D49" s="168" t="s">
        <v>2189</v>
      </c>
      <c r="E49" s="169"/>
      <c r="F49" s="152"/>
      <c r="G49" s="152"/>
      <c r="H49" s="152"/>
      <c r="I49" s="152"/>
      <c r="J49" s="152"/>
      <c r="K49" s="152" t="s">
        <v>742</v>
      </c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3"/>
    </row>
    <row r="50" ht="13.5" customHeight="1">
      <c r="A50" s="165"/>
      <c r="B50" s="166"/>
      <c r="C50" s="167"/>
      <c r="D50" s="168" t="s">
        <v>2190</v>
      </c>
      <c r="E50" s="169"/>
      <c r="F50" s="152"/>
      <c r="G50" s="152"/>
      <c r="H50" s="152"/>
      <c r="I50" s="152"/>
      <c r="J50" s="152"/>
      <c r="K50" s="152"/>
      <c r="L50" s="152" t="s">
        <v>742</v>
      </c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3"/>
    </row>
    <row r="51" ht="13.5" customHeight="1">
      <c r="A51" s="165"/>
      <c r="B51" s="166"/>
      <c r="C51" s="167"/>
      <c r="D51" s="168" t="s">
        <v>2191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 t="s">
        <v>742</v>
      </c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3"/>
    </row>
    <row r="52" ht="13.5" customHeight="1">
      <c r="A52" s="165"/>
      <c r="B52" s="166"/>
      <c r="C52" s="167"/>
      <c r="D52" s="168" t="s">
        <v>817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 t="s">
        <v>742</v>
      </c>
      <c r="U52" s="152"/>
      <c r="V52" s="152"/>
      <c r="W52" s="152"/>
      <c r="X52" s="152"/>
      <c r="Y52" s="152"/>
      <c r="Z52" s="152" t="s">
        <v>742</v>
      </c>
      <c r="AA52" s="152"/>
      <c r="AB52" s="152"/>
      <c r="AC52" s="153"/>
    </row>
    <row r="53" ht="13.5" customHeight="1">
      <c r="A53" s="165"/>
      <c r="B53" s="166"/>
      <c r="C53" s="167"/>
      <c r="D53" s="168" t="s">
        <v>2192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 t="s">
        <v>742</v>
      </c>
      <c r="Y53" s="152"/>
      <c r="Z53" s="152"/>
      <c r="AA53" s="152"/>
      <c r="AB53" s="152"/>
      <c r="AC53" s="153"/>
    </row>
    <row r="54" ht="13.5" customHeight="1">
      <c r="A54" s="165"/>
      <c r="B54" s="166"/>
      <c r="C54" s="167"/>
      <c r="D54" s="168" t="s">
        <v>2193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 t="s">
        <v>742</v>
      </c>
      <c r="AC54" s="153"/>
    </row>
    <row r="55" ht="13.5" customHeight="1">
      <c r="A55" s="165"/>
      <c r="B55" s="166" t="s">
        <v>825</v>
      </c>
      <c r="C55" s="167"/>
      <c r="D55" s="168"/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3"/>
    </row>
    <row r="56" ht="13.5" customHeight="1">
      <c r="A56" s="165"/>
      <c r="B56" s="166"/>
      <c r="C56" s="167"/>
      <c r="D56" s="168" t="s">
        <v>2194</v>
      </c>
      <c r="E56" s="169"/>
      <c r="F56" s="152"/>
      <c r="G56" s="152"/>
      <c r="H56" s="152"/>
      <c r="I56" s="152"/>
      <c r="J56" s="152"/>
      <c r="K56" s="152"/>
      <c r="L56" s="152"/>
      <c r="M56" s="152" t="s">
        <v>742</v>
      </c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3"/>
    </row>
    <row r="57" ht="13.5" customHeight="1">
      <c r="A57" s="165"/>
      <c r="B57" s="166"/>
      <c r="C57" s="167"/>
      <c r="D57" s="168" t="s">
        <v>1466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 t="s">
        <v>742</v>
      </c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3" t="s">
        <v>742</v>
      </c>
    </row>
    <row r="58" ht="13.5" customHeight="1">
      <c r="A58" s="165"/>
      <c r="B58" s="166"/>
      <c r="C58" s="167"/>
      <c r="D58" s="168" t="s">
        <v>2195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 t="s">
        <v>742</v>
      </c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3"/>
    </row>
    <row r="59" ht="13.5" customHeight="1">
      <c r="A59" s="165"/>
      <c r="B59" s="166"/>
      <c r="C59" s="167"/>
      <c r="D59" s="168" t="s">
        <v>2170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 t="s">
        <v>742</v>
      </c>
      <c r="Q59" s="152" t="s">
        <v>742</v>
      </c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3"/>
    </row>
    <row r="60" ht="13.5" customHeight="1">
      <c r="A60" s="165"/>
      <c r="B60" s="166"/>
      <c r="C60" s="167"/>
      <c r="D60" s="168" t="s">
        <v>2196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 t="s">
        <v>742</v>
      </c>
      <c r="T60" s="152"/>
      <c r="U60" s="152"/>
      <c r="V60" s="152"/>
      <c r="W60" s="152"/>
      <c r="X60" s="152"/>
      <c r="Y60" s="152"/>
      <c r="Z60" s="152"/>
      <c r="AA60" s="152"/>
      <c r="AB60" s="152"/>
      <c r="AC60" s="153"/>
    </row>
    <row r="61" ht="13.5" customHeight="1">
      <c r="A61" s="165"/>
      <c r="B61" s="166"/>
      <c r="C61" s="167"/>
      <c r="D61" s="168" t="s">
        <v>2197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 t="s">
        <v>742</v>
      </c>
      <c r="V61" s="152"/>
      <c r="W61" s="152"/>
      <c r="X61" s="152"/>
      <c r="Y61" s="152"/>
      <c r="Z61" s="152"/>
      <c r="AA61" s="152"/>
      <c r="AB61" s="152"/>
      <c r="AC61" s="153"/>
    </row>
    <row r="62" ht="13.5" customHeight="1">
      <c r="A62" s="165"/>
      <c r="B62" s="166"/>
      <c r="C62" s="167"/>
      <c r="D62" s="168" t="s">
        <v>2198</v>
      </c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 t="s">
        <v>742</v>
      </c>
      <c r="W62" s="152"/>
      <c r="X62" s="152"/>
      <c r="Y62" s="152"/>
      <c r="Z62" s="152"/>
      <c r="AA62" s="152"/>
      <c r="AB62" s="152"/>
      <c r="AC62" s="153"/>
    </row>
    <row r="63" ht="13.5" customHeight="1">
      <c r="A63" s="165"/>
      <c r="B63" s="166"/>
      <c r="C63" s="167"/>
      <c r="D63" s="168" t="s">
        <v>2199</v>
      </c>
      <c r="E63" s="169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 t="s">
        <v>742</v>
      </c>
      <c r="X63" s="152"/>
      <c r="Y63" s="152"/>
      <c r="Z63" s="152"/>
      <c r="AA63" s="152"/>
      <c r="AB63" s="152"/>
      <c r="AC63" s="153"/>
    </row>
    <row r="64" ht="13.5" customHeight="1">
      <c r="A64" s="165"/>
      <c r="B64" s="166"/>
      <c r="C64" s="167"/>
      <c r="D64" s="168" t="s">
        <v>2200</v>
      </c>
      <c r="E64" s="169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 t="s">
        <v>742</v>
      </c>
      <c r="Z64" s="152"/>
      <c r="AA64" s="152"/>
      <c r="AB64" s="152"/>
      <c r="AC64" s="153"/>
    </row>
    <row r="65" ht="13.5" customHeight="1">
      <c r="A65" s="165"/>
      <c r="B65" s="166"/>
      <c r="C65" s="167"/>
      <c r="D65" s="168" t="s">
        <v>2201</v>
      </c>
      <c r="E65" s="169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 t="s">
        <v>742</v>
      </c>
      <c r="AB65" s="152"/>
      <c r="AC65" s="153"/>
    </row>
    <row r="66" ht="13.5" customHeight="1">
      <c r="A66" s="165"/>
      <c r="B66" s="166" t="s">
        <v>854</v>
      </c>
      <c r="C66" s="167"/>
      <c r="D66" s="168"/>
      <c r="E66" s="169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3"/>
    </row>
    <row r="67" ht="13.5" customHeight="1">
      <c r="A67" s="165"/>
      <c r="B67" s="170"/>
      <c r="C67" s="171"/>
      <c r="D67" s="172"/>
      <c r="E67" s="173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5"/>
    </row>
    <row r="68" ht="13.5" customHeight="1">
      <c r="A68" s="160" t="s">
        <v>865</v>
      </c>
      <c r="B68" s="176" t="s">
        <v>866</v>
      </c>
      <c r="C68" s="177"/>
      <c r="D68" s="178"/>
      <c r="E68" s="179"/>
      <c r="F68" s="180" t="s">
        <v>54</v>
      </c>
      <c r="G68" s="180" t="s">
        <v>54</v>
      </c>
      <c r="H68" s="180" t="s">
        <v>54</v>
      </c>
      <c r="I68" s="180" t="s">
        <v>54</v>
      </c>
      <c r="J68" s="180" t="s">
        <v>54</v>
      </c>
      <c r="K68" s="180" t="s">
        <v>54</v>
      </c>
      <c r="L68" s="180" t="s">
        <v>54</v>
      </c>
      <c r="M68" s="180" t="s">
        <v>55</v>
      </c>
      <c r="N68" s="180" t="s">
        <v>55</v>
      </c>
      <c r="O68" s="180" t="s">
        <v>55</v>
      </c>
      <c r="P68" s="180" t="s">
        <v>57</v>
      </c>
      <c r="Q68" s="180" t="s">
        <v>57</v>
      </c>
      <c r="R68" s="180" t="s">
        <v>57</v>
      </c>
      <c r="S68" s="180" t="s">
        <v>55</v>
      </c>
      <c r="T68" s="180" t="s">
        <v>57</v>
      </c>
      <c r="U68" s="180" t="s">
        <v>57</v>
      </c>
      <c r="V68" s="180" t="s">
        <v>57</v>
      </c>
      <c r="W68" s="180" t="s">
        <v>55</v>
      </c>
      <c r="X68" s="180" t="s">
        <v>57</v>
      </c>
      <c r="Y68" s="180" t="s">
        <v>57</v>
      </c>
      <c r="Z68" s="180" t="s">
        <v>57</v>
      </c>
      <c r="AA68" s="180" t="s">
        <v>57</v>
      </c>
      <c r="AB68" s="180" t="s">
        <v>54</v>
      </c>
      <c r="AC68" s="181" t="s">
        <v>55</v>
      </c>
    </row>
    <row r="69" ht="13.5" customHeight="1">
      <c r="A69" s="165"/>
      <c r="B69" s="182" t="s">
        <v>867</v>
      </c>
      <c r="C69" s="27"/>
      <c r="D69" s="25"/>
      <c r="E69" s="183"/>
      <c r="F69" s="184" t="s">
        <v>868</v>
      </c>
      <c r="G69" s="184" t="s">
        <v>868</v>
      </c>
      <c r="H69" s="184" t="s">
        <v>868</v>
      </c>
      <c r="I69" s="184" t="s">
        <v>868</v>
      </c>
      <c r="J69" s="184" t="s">
        <v>868</v>
      </c>
      <c r="K69" s="184" t="s">
        <v>868</v>
      </c>
      <c r="L69" s="184" t="s">
        <v>868</v>
      </c>
      <c r="M69" s="184" t="s">
        <v>868</v>
      </c>
      <c r="N69" s="184" t="s">
        <v>868</v>
      </c>
      <c r="O69" s="184" t="s">
        <v>868</v>
      </c>
      <c r="P69" s="184" t="s">
        <v>868</v>
      </c>
      <c r="Q69" s="184" t="s">
        <v>868</v>
      </c>
      <c r="R69" s="184" t="s">
        <v>868</v>
      </c>
      <c r="S69" s="184" t="s">
        <v>868</v>
      </c>
      <c r="T69" s="184" t="s">
        <v>868</v>
      </c>
      <c r="U69" s="184" t="s">
        <v>868</v>
      </c>
      <c r="V69" s="184" t="s">
        <v>868</v>
      </c>
      <c r="W69" s="184" t="s">
        <v>868</v>
      </c>
      <c r="X69" s="184" t="s">
        <v>868</v>
      </c>
      <c r="Y69" s="184" t="s">
        <v>868</v>
      </c>
      <c r="Z69" s="184" t="s">
        <v>868</v>
      </c>
      <c r="AA69" s="184" t="s">
        <v>868</v>
      </c>
      <c r="AB69" s="184" t="s">
        <v>868</v>
      </c>
      <c r="AC69" s="185" t="s">
        <v>868</v>
      </c>
    </row>
    <row r="70" ht="99.75" customHeight="1">
      <c r="A70" s="165"/>
      <c r="B70" s="186" t="s">
        <v>869</v>
      </c>
      <c r="C70" s="27"/>
      <c r="D70" s="25"/>
      <c r="E70" s="169"/>
      <c r="F70" s="187">
        <v>46278.0</v>
      </c>
      <c r="G70" s="187">
        <v>46278.0</v>
      </c>
      <c r="H70" s="187">
        <v>46278.0</v>
      </c>
      <c r="I70" s="187">
        <v>46278.0</v>
      </c>
      <c r="J70" s="187">
        <v>46278.0</v>
      </c>
      <c r="K70" s="187">
        <v>46278.0</v>
      </c>
      <c r="L70" s="187">
        <v>46278.0</v>
      </c>
      <c r="M70" s="187">
        <v>46278.0</v>
      </c>
      <c r="N70" s="187">
        <v>46278.0</v>
      </c>
      <c r="O70" s="187">
        <v>46278.0</v>
      </c>
      <c r="P70" s="187">
        <v>46278.0</v>
      </c>
      <c r="Q70" s="187">
        <v>46278.0</v>
      </c>
      <c r="R70" s="187">
        <v>46278.0</v>
      </c>
      <c r="S70" s="187">
        <v>46278.0</v>
      </c>
      <c r="T70" s="187">
        <v>46278.0</v>
      </c>
      <c r="U70" s="187">
        <v>46278.0</v>
      </c>
      <c r="V70" s="187">
        <v>46278.0</v>
      </c>
      <c r="W70" s="187">
        <v>46278.0</v>
      </c>
      <c r="X70" s="187">
        <v>46278.0</v>
      </c>
      <c r="Y70" s="187">
        <v>46278.0</v>
      </c>
      <c r="Z70" s="187">
        <v>46278.0</v>
      </c>
      <c r="AA70" s="187">
        <v>46278.0</v>
      </c>
      <c r="AB70" s="187">
        <v>46278.0</v>
      </c>
      <c r="AC70" s="189">
        <v>46278.0</v>
      </c>
    </row>
    <row r="71" ht="72.75" customHeight="1">
      <c r="A71" s="190"/>
      <c r="B71" s="191" t="s">
        <v>870</v>
      </c>
      <c r="C71" s="192"/>
      <c r="D71" s="193"/>
      <c r="E71" s="194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6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AC4"/>
    <mergeCell ref="C5:AC5"/>
    <mergeCell ref="A2:B2"/>
    <mergeCell ref="C2:E2"/>
    <mergeCell ref="F2:K2"/>
    <mergeCell ref="L2:AC2"/>
    <mergeCell ref="C3:E3"/>
    <mergeCell ref="F3:K3"/>
    <mergeCell ref="L3:AC3"/>
    <mergeCell ref="F6:K6"/>
    <mergeCell ref="L6:N6"/>
    <mergeCell ref="O6:AC6"/>
    <mergeCell ref="A7:B7"/>
    <mergeCell ref="C7:E7"/>
    <mergeCell ref="F7:K7"/>
    <mergeCell ref="O7:AC7"/>
    <mergeCell ref="B68:D68"/>
    <mergeCell ref="B69:D69"/>
    <mergeCell ref="B70:D70"/>
    <mergeCell ref="B71:D71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436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388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52.0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2134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COUNTIF(F34:T34,"P")</f>
        <v>8</v>
      </c>
      <c r="B7" s="130"/>
      <c r="C7" s="131">
        <f>COUNTIF(F34:T34,"F")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COUNTIF(F33:T33,"N")</f>
        <v>3</v>
      </c>
      <c r="M7" s="132">
        <f>COUNTIF(F33:T33,"A")</f>
        <v>5</v>
      </c>
      <c r="N7" s="132">
        <f>COUNTIF(F33:T33,"B")</f>
        <v>0</v>
      </c>
      <c r="O7" s="133">
        <f>COUNTA(F9:T9)</f>
        <v>8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2147</v>
      </c>
      <c r="E11" s="145"/>
      <c r="F11" s="152" t="s">
        <v>742</v>
      </c>
      <c r="G11" s="152"/>
      <c r="H11" s="152"/>
      <c r="I11" s="152"/>
      <c r="J11" s="152" t="s">
        <v>742</v>
      </c>
      <c r="K11" s="152" t="s">
        <v>742</v>
      </c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2149</v>
      </c>
      <c r="E12" s="145"/>
      <c r="F12" s="152"/>
      <c r="G12" s="152" t="s">
        <v>742</v>
      </c>
      <c r="H12" s="152"/>
      <c r="I12" s="152"/>
      <c r="J12" s="152"/>
      <c r="K12" s="152"/>
      <c r="L12" s="152" t="s">
        <v>742</v>
      </c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2151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 t="s">
        <v>742</v>
      </c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2152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 t="s">
        <v>768</v>
      </c>
      <c r="C15" s="150"/>
      <c r="D15" s="151"/>
      <c r="E15" s="145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2154</v>
      </c>
      <c r="E16" s="145"/>
      <c r="F16" s="152" t="s">
        <v>742</v>
      </c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2155</v>
      </c>
      <c r="E17" s="145"/>
      <c r="F17" s="152"/>
      <c r="G17" s="152" t="s">
        <v>742</v>
      </c>
      <c r="H17" s="152"/>
      <c r="I17" s="152"/>
      <c r="J17" s="152"/>
      <c r="K17" s="152" t="s">
        <v>742</v>
      </c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1026</v>
      </c>
      <c r="E18" s="145"/>
      <c r="F18" s="152"/>
      <c r="G18" s="152"/>
      <c r="H18" s="152" t="s">
        <v>742</v>
      </c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2157</v>
      </c>
      <c r="E19" s="145"/>
      <c r="F19" s="152"/>
      <c r="G19" s="152"/>
      <c r="H19" s="152"/>
      <c r="I19" s="152" t="s">
        <v>742</v>
      </c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2158</v>
      </c>
      <c r="E20" s="145"/>
      <c r="F20" s="152"/>
      <c r="G20" s="152"/>
      <c r="H20" s="152"/>
      <c r="I20" s="152"/>
      <c r="J20" s="152" t="s">
        <v>742</v>
      </c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54"/>
      <c r="C21" s="155"/>
      <c r="D21" s="156"/>
      <c r="E21" s="157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9"/>
    </row>
    <row r="22" ht="13.5" customHeight="1">
      <c r="A22" s="160" t="s">
        <v>802</v>
      </c>
      <c r="B22" s="161" t="s">
        <v>804</v>
      </c>
      <c r="C22" s="162"/>
      <c r="D22" s="163"/>
      <c r="E22" s="164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/>
    </row>
    <row r="23" ht="13.5" customHeight="1">
      <c r="A23" s="165"/>
      <c r="B23" s="166"/>
      <c r="C23" s="167"/>
      <c r="D23" s="168" t="s">
        <v>2162</v>
      </c>
      <c r="E23" s="169"/>
      <c r="F23" s="152" t="s">
        <v>742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65"/>
      <c r="B24" s="166"/>
      <c r="C24" s="167"/>
      <c r="D24" s="168" t="s">
        <v>2164</v>
      </c>
      <c r="E24" s="169"/>
      <c r="F24" s="152"/>
      <c r="G24" s="152"/>
      <c r="H24" s="152"/>
      <c r="I24" s="152" t="s">
        <v>742</v>
      </c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65"/>
      <c r="B25" s="166"/>
      <c r="C25" s="167"/>
      <c r="D25" s="168" t="s">
        <v>2166</v>
      </c>
      <c r="E25" s="169"/>
      <c r="F25" s="152"/>
      <c r="G25" s="152"/>
      <c r="H25" s="152"/>
      <c r="I25" s="152"/>
      <c r="J25" s="152"/>
      <c r="K25" s="152" t="s">
        <v>742</v>
      </c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65"/>
      <c r="B26" s="166" t="s">
        <v>825</v>
      </c>
      <c r="C26" s="167"/>
      <c r="D26" s="168"/>
      <c r="E26" s="169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65"/>
      <c r="B27" s="166"/>
      <c r="C27" s="167"/>
      <c r="D27" s="168" t="s">
        <v>2168</v>
      </c>
      <c r="E27" s="169"/>
      <c r="F27" s="152"/>
      <c r="G27" s="152" t="s">
        <v>742</v>
      </c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65"/>
      <c r="B28" s="166"/>
      <c r="C28" s="167"/>
      <c r="D28" s="168" t="s">
        <v>2169</v>
      </c>
      <c r="E28" s="169"/>
      <c r="F28" s="152"/>
      <c r="G28" s="152"/>
      <c r="H28" s="152" t="s">
        <v>742</v>
      </c>
      <c r="I28" s="152"/>
      <c r="J28" s="152"/>
      <c r="K28" s="152"/>
      <c r="L28" s="152"/>
      <c r="M28" s="152" t="s">
        <v>742</v>
      </c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66"/>
      <c r="C29" s="167"/>
      <c r="D29" s="168" t="s">
        <v>2170</v>
      </c>
      <c r="E29" s="169"/>
      <c r="F29" s="152"/>
      <c r="G29" s="152"/>
      <c r="H29" s="152"/>
      <c r="I29" s="152"/>
      <c r="J29" s="152" t="s">
        <v>742</v>
      </c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/>
      <c r="C30" s="167"/>
      <c r="D30" s="168" t="s">
        <v>2172</v>
      </c>
      <c r="E30" s="169"/>
      <c r="F30" s="152"/>
      <c r="G30" s="152"/>
      <c r="H30" s="152"/>
      <c r="I30" s="152"/>
      <c r="J30" s="152"/>
      <c r="K30" s="152"/>
      <c r="L30" s="152" t="s">
        <v>742</v>
      </c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65"/>
      <c r="B31" s="166" t="s">
        <v>854</v>
      </c>
      <c r="C31" s="167"/>
      <c r="D31" s="168"/>
      <c r="E31" s="169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70"/>
      <c r="C32" s="171"/>
      <c r="D32" s="172"/>
      <c r="E32" s="173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5"/>
    </row>
    <row r="33" ht="13.5" customHeight="1">
      <c r="A33" s="160" t="s">
        <v>865</v>
      </c>
      <c r="B33" s="176" t="s">
        <v>866</v>
      </c>
      <c r="C33" s="177"/>
      <c r="D33" s="178"/>
      <c r="E33" s="179"/>
      <c r="F33" s="180" t="s">
        <v>54</v>
      </c>
      <c r="G33" s="180" t="s">
        <v>55</v>
      </c>
      <c r="H33" s="180" t="s">
        <v>55</v>
      </c>
      <c r="I33" s="180" t="s">
        <v>54</v>
      </c>
      <c r="J33" s="180" t="s">
        <v>55</v>
      </c>
      <c r="K33" s="180" t="s">
        <v>54</v>
      </c>
      <c r="L33" s="180" t="s">
        <v>55</v>
      </c>
      <c r="M33" s="180" t="s">
        <v>55</v>
      </c>
      <c r="N33" s="180"/>
      <c r="O33" s="180"/>
      <c r="P33" s="180"/>
      <c r="Q33" s="180"/>
      <c r="R33" s="180"/>
      <c r="S33" s="180"/>
      <c r="T33" s="181"/>
    </row>
    <row r="34" ht="13.5" customHeight="1">
      <c r="A34" s="165"/>
      <c r="B34" s="182" t="s">
        <v>867</v>
      </c>
      <c r="C34" s="27"/>
      <c r="D34" s="25"/>
      <c r="E34" s="183"/>
      <c r="F34" s="184" t="s">
        <v>868</v>
      </c>
      <c r="G34" s="184" t="s">
        <v>868</v>
      </c>
      <c r="H34" s="184" t="s">
        <v>868</v>
      </c>
      <c r="I34" s="184" t="s">
        <v>868</v>
      </c>
      <c r="J34" s="184" t="s">
        <v>868</v>
      </c>
      <c r="K34" s="184" t="s">
        <v>868</v>
      </c>
      <c r="L34" s="184" t="s">
        <v>868</v>
      </c>
      <c r="M34" s="184" t="s">
        <v>868</v>
      </c>
      <c r="N34" s="184"/>
      <c r="O34" s="184"/>
      <c r="P34" s="184"/>
      <c r="Q34" s="184"/>
      <c r="R34" s="184"/>
      <c r="S34" s="184"/>
      <c r="T34" s="185"/>
    </row>
    <row r="35" ht="99.75" customHeight="1">
      <c r="A35" s="165"/>
      <c r="B35" s="186" t="s">
        <v>869</v>
      </c>
      <c r="C35" s="27"/>
      <c r="D35" s="25"/>
      <c r="E35" s="169"/>
      <c r="F35" s="187">
        <v>46272.0</v>
      </c>
      <c r="G35" s="187">
        <v>46272.0</v>
      </c>
      <c r="H35" s="187">
        <v>46272.0</v>
      </c>
      <c r="I35" s="187">
        <v>46272.0</v>
      </c>
      <c r="J35" s="187">
        <v>46272.0</v>
      </c>
      <c r="K35" s="187">
        <v>46272.0</v>
      </c>
      <c r="L35" s="187">
        <v>46272.0</v>
      </c>
      <c r="M35" s="187">
        <v>46272.0</v>
      </c>
      <c r="N35" s="197"/>
      <c r="O35" s="197"/>
      <c r="P35" s="197"/>
      <c r="Q35" s="197"/>
      <c r="R35" s="197"/>
      <c r="S35" s="197"/>
      <c r="T35" s="188"/>
    </row>
    <row r="36" ht="72.75" customHeight="1">
      <c r="A36" s="190"/>
      <c r="B36" s="191" t="s">
        <v>870</v>
      </c>
      <c r="C36" s="192"/>
      <c r="D36" s="193"/>
      <c r="E36" s="194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6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3:D33"/>
    <mergeCell ref="B34:D34"/>
    <mergeCell ref="B35:D35"/>
    <mergeCell ref="B36:D36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1" width="3.57"/>
    <col customWidth="1" min="22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ht="13.5" customHeight="1">
      <c r="A2" s="111" t="s">
        <v>707</v>
      </c>
      <c r="B2" s="112"/>
      <c r="C2" s="113" t="s">
        <v>441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399</v>
      </c>
      <c r="M2" s="115"/>
      <c r="N2" s="115"/>
      <c r="O2" s="115"/>
      <c r="P2" s="115"/>
      <c r="Q2" s="115"/>
      <c r="R2" s="115"/>
      <c r="S2" s="115"/>
      <c r="T2" s="115"/>
      <c r="U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  <c r="U3" s="27"/>
    </row>
    <row r="4" ht="13.5" customHeight="1">
      <c r="A4" s="117" t="s">
        <v>711</v>
      </c>
      <c r="B4" s="27"/>
      <c r="C4" s="122">
        <v>80.0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</row>
    <row r="5" ht="13.5" customHeight="1">
      <c r="A5" s="117" t="s">
        <v>713</v>
      </c>
      <c r="B5" s="27"/>
      <c r="C5" s="124" t="s">
        <v>2202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</row>
    <row r="7" ht="13.5" customHeight="1">
      <c r="A7" s="129">
        <f>COUNTIF(F58:U58,"P")</f>
        <v>16</v>
      </c>
      <c r="B7" s="130"/>
      <c r="C7" s="131">
        <f>COUNTIF(F58:U58,"F")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COUNTIF(F57:U57,"N")</f>
        <v>9</v>
      </c>
      <c r="M7" s="132">
        <f>COUNTIF(F57:U57,"A")</f>
        <v>3</v>
      </c>
      <c r="N7" s="132">
        <f>COUNTIF(F57:U57,"B")</f>
        <v>4</v>
      </c>
      <c r="O7" s="133">
        <f>COUNTA(F9:U9)</f>
        <v>16</v>
      </c>
      <c r="P7" s="130"/>
      <c r="Q7" s="130"/>
      <c r="R7" s="130"/>
      <c r="S7" s="130"/>
      <c r="T7" s="130"/>
      <c r="U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40" t="s">
        <v>731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7"/>
    </row>
    <row r="11" ht="13.5" customHeight="1">
      <c r="A11" s="148"/>
      <c r="B11" s="149"/>
      <c r="C11" s="150"/>
      <c r="D11" s="151" t="s">
        <v>2203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3"/>
    </row>
    <row r="12" ht="13.5" customHeight="1">
      <c r="A12" s="148"/>
      <c r="B12" s="149"/>
      <c r="C12" s="150"/>
      <c r="D12" s="151" t="s">
        <v>2205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3" t="s">
        <v>742</v>
      </c>
    </row>
    <row r="13" ht="13.5" customHeight="1">
      <c r="A13" s="148"/>
      <c r="B13" s="149"/>
      <c r="C13" s="150"/>
      <c r="D13" s="151" t="s">
        <v>2146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3"/>
    </row>
    <row r="14" ht="13.5" customHeight="1">
      <c r="A14" s="148"/>
      <c r="B14" s="149"/>
      <c r="C14" s="150"/>
      <c r="D14" s="151" t="s">
        <v>1455</v>
      </c>
      <c r="E14" s="145"/>
      <c r="F14" s="152"/>
      <c r="G14" s="152"/>
      <c r="H14" s="152"/>
      <c r="I14" s="152" t="s">
        <v>742</v>
      </c>
      <c r="J14" s="152"/>
      <c r="K14" s="152" t="s">
        <v>742</v>
      </c>
      <c r="L14" s="152" t="s">
        <v>742</v>
      </c>
      <c r="M14" s="152" t="s">
        <v>742</v>
      </c>
      <c r="N14" s="152" t="s">
        <v>742</v>
      </c>
      <c r="O14" s="152" t="s">
        <v>742</v>
      </c>
      <c r="P14" s="152"/>
      <c r="Q14" s="152"/>
      <c r="R14" s="152"/>
      <c r="S14" s="152"/>
      <c r="T14" s="152"/>
      <c r="U14" s="153"/>
    </row>
    <row r="15" ht="13.5" customHeight="1">
      <c r="A15" s="148"/>
      <c r="B15" s="149"/>
      <c r="C15" s="150"/>
      <c r="D15" s="151" t="s">
        <v>2206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3"/>
    </row>
    <row r="16" ht="13.5" customHeight="1">
      <c r="A16" s="148"/>
      <c r="B16" s="149"/>
      <c r="C16" s="150"/>
      <c r="D16" s="151" t="s">
        <v>2207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 t="s">
        <v>742</v>
      </c>
      <c r="Q16" s="152"/>
      <c r="R16" s="152"/>
      <c r="S16" s="152"/>
      <c r="T16" s="152"/>
      <c r="U16" s="153"/>
    </row>
    <row r="17" ht="13.5" customHeight="1">
      <c r="A17" s="148"/>
      <c r="B17" s="149"/>
      <c r="C17" s="150"/>
      <c r="D17" s="151" t="s">
        <v>2208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 t="s">
        <v>742</v>
      </c>
      <c r="R17" s="152" t="s">
        <v>742</v>
      </c>
      <c r="S17" s="152" t="s">
        <v>742</v>
      </c>
      <c r="T17" s="152"/>
      <c r="U17" s="153"/>
    </row>
    <row r="18" ht="13.5" customHeight="1">
      <c r="A18" s="148"/>
      <c r="B18" s="149"/>
      <c r="C18" s="150"/>
      <c r="D18" s="151" t="s">
        <v>2209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 t="s">
        <v>742</v>
      </c>
      <c r="U18" s="153"/>
    </row>
    <row r="19" ht="13.5" customHeight="1">
      <c r="A19" s="148"/>
      <c r="B19" s="149" t="s">
        <v>768</v>
      </c>
      <c r="C19" s="150"/>
      <c r="D19" s="151"/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/>
    </row>
    <row r="20" ht="13.5" customHeight="1">
      <c r="A20" s="148"/>
      <c r="B20" s="149"/>
      <c r="C20" s="150"/>
      <c r="D20" s="151" t="s">
        <v>2210</v>
      </c>
      <c r="E20" s="145"/>
      <c r="F20" s="152" t="s">
        <v>742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/>
    </row>
    <row r="21" ht="13.5" customHeight="1">
      <c r="A21" s="148"/>
      <c r="B21" s="149"/>
      <c r="C21" s="150"/>
      <c r="D21" s="151" t="s">
        <v>2211</v>
      </c>
      <c r="E21" s="145"/>
      <c r="F21" s="152"/>
      <c r="G21" s="152" t="s">
        <v>742</v>
      </c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/>
    </row>
    <row r="22" ht="13.5" customHeight="1">
      <c r="A22" s="148"/>
      <c r="B22" s="149"/>
      <c r="C22" s="150"/>
      <c r="D22" s="151" t="s">
        <v>2171</v>
      </c>
      <c r="E22" s="145"/>
      <c r="F22" s="152"/>
      <c r="G22" s="152"/>
      <c r="H22" s="152" t="s">
        <v>742</v>
      </c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3"/>
    </row>
    <row r="23" ht="13.5" customHeight="1">
      <c r="A23" s="148"/>
      <c r="B23" s="149"/>
      <c r="C23" s="150"/>
      <c r="D23" s="151" t="s">
        <v>2212</v>
      </c>
      <c r="E23" s="145"/>
      <c r="F23" s="152"/>
      <c r="G23" s="152"/>
      <c r="H23" s="152"/>
      <c r="I23" s="152" t="s">
        <v>742</v>
      </c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3"/>
    </row>
    <row r="24" ht="13.5" customHeight="1">
      <c r="A24" s="148"/>
      <c r="B24" s="149"/>
      <c r="C24" s="150"/>
      <c r="D24" s="151" t="s">
        <v>2213</v>
      </c>
      <c r="E24" s="145"/>
      <c r="F24" s="152"/>
      <c r="G24" s="152"/>
      <c r="H24" s="152"/>
      <c r="I24" s="152"/>
      <c r="J24" s="152" t="s">
        <v>742</v>
      </c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3"/>
    </row>
    <row r="25" ht="13.5" customHeight="1">
      <c r="A25" s="148"/>
      <c r="B25" s="149"/>
      <c r="C25" s="150"/>
      <c r="D25" s="151" t="s">
        <v>2214</v>
      </c>
      <c r="E25" s="145"/>
      <c r="F25" s="152"/>
      <c r="G25" s="152"/>
      <c r="H25" s="152"/>
      <c r="I25" s="152"/>
      <c r="J25" s="152"/>
      <c r="K25" s="152" t="s">
        <v>742</v>
      </c>
      <c r="L25" s="152"/>
      <c r="M25" s="152"/>
      <c r="N25" s="152"/>
      <c r="O25" s="152"/>
      <c r="P25" s="152"/>
      <c r="Q25" s="152"/>
      <c r="R25" s="152"/>
      <c r="S25" s="152"/>
      <c r="T25" s="152"/>
      <c r="U25" s="153"/>
    </row>
    <row r="26" ht="13.5" customHeight="1">
      <c r="A26" s="148"/>
      <c r="B26" s="149"/>
      <c r="C26" s="150"/>
      <c r="D26" s="151" t="s">
        <v>2215</v>
      </c>
      <c r="E26" s="145"/>
      <c r="F26" s="152"/>
      <c r="G26" s="152"/>
      <c r="H26" s="152"/>
      <c r="I26" s="152"/>
      <c r="J26" s="152"/>
      <c r="K26" s="152"/>
      <c r="L26" s="152" t="s">
        <v>742</v>
      </c>
      <c r="M26" s="152"/>
      <c r="N26" s="152"/>
      <c r="O26" s="152"/>
      <c r="P26" s="152"/>
      <c r="Q26" s="152"/>
      <c r="R26" s="152"/>
      <c r="S26" s="152"/>
      <c r="T26" s="152"/>
      <c r="U26" s="153"/>
    </row>
    <row r="27" ht="13.5" customHeight="1">
      <c r="A27" s="148"/>
      <c r="B27" s="149"/>
      <c r="C27" s="150"/>
      <c r="D27" s="151" t="s">
        <v>2216</v>
      </c>
      <c r="E27" s="145"/>
      <c r="F27" s="152"/>
      <c r="G27" s="152"/>
      <c r="H27" s="152"/>
      <c r="I27" s="152"/>
      <c r="J27" s="152"/>
      <c r="K27" s="152"/>
      <c r="L27" s="152"/>
      <c r="M27" s="152" t="s">
        <v>742</v>
      </c>
      <c r="N27" s="152"/>
      <c r="O27" s="152"/>
      <c r="P27" s="152"/>
      <c r="Q27" s="152"/>
      <c r="R27" s="152"/>
      <c r="S27" s="152"/>
      <c r="T27" s="152"/>
      <c r="U27" s="153"/>
    </row>
    <row r="28" ht="13.5" customHeight="1">
      <c r="A28" s="148"/>
      <c r="B28" s="149"/>
      <c r="C28" s="150"/>
      <c r="D28" s="151" t="s">
        <v>1488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 t="s">
        <v>742</v>
      </c>
      <c r="O28" s="152"/>
      <c r="P28" s="152"/>
      <c r="Q28" s="152"/>
      <c r="R28" s="152"/>
      <c r="S28" s="152"/>
      <c r="T28" s="152"/>
      <c r="U28" s="153"/>
    </row>
    <row r="29" ht="13.5" customHeight="1">
      <c r="A29" s="148"/>
      <c r="B29" s="149"/>
      <c r="C29" s="150"/>
      <c r="D29" s="151" t="s">
        <v>1595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 t="s">
        <v>742</v>
      </c>
      <c r="P29" s="152"/>
      <c r="Q29" s="152"/>
      <c r="R29" s="152"/>
      <c r="S29" s="152"/>
      <c r="T29" s="152"/>
      <c r="U29" s="153"/>
    </row>
    <row r="30" ht="13.5" customHeight="1">
      <c r="A30" s="148"/>
      <c r="B30" s="149"/>
      <c r="C30" s="150"/>
      <c r="D30" s="151" t="s">
        <v>2217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 t="s">
        <v>742</v>
      </c>
      <c r="Q30" s="152"/>
      <c r="R30" s="152"/>
      <c r="S30" s="152"/>
      <c r="T30" s="152"/>
      <c r="U30" s="153"/>
    </row>
    <row r="31" ht="13.5" customHeight="1">
      <c r="A31" s="148"/>
      <c r="B31" s="149"/>
      <c r="C31" s="150"/>
      <c r="D31" s="151" t="s">
        <v>2219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 t="s">
        <v>742</v>
      </c>
      <c r="R31" s="152"/>
      <c r="S31" s="152"/>
      <c r="T31" s="152"/>
      <c r="U31" s="153"/>
    </row>
    <row r="32" ht="13.5" customHeight="1">
      <c r="A32" s="148"/>
      <c r="B32" s="149"/>
      <c r="C32" s="150"/>
      <c r="D32" s="151" t="s">
        <v>2221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 t="s">
        <v>742</v>
      </c>
      <c r="S32" s="152"/>
      <c r="T32" s="152"/>
      <c r="U32" s="153"/>
    </row>
    <row r="33" ht="13.5" customHeight="1">
      <c r="A33" s="148"/>
      <c r="B33" s="149"/>
      <c r="C33" s="150"/>
      <c r="D33" s="151" t="s">
        <v>2223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 t="s">
        <v>742</v>
      </c>
      <c r="T33" s="152"/>
      <c r="U33" s="153"/>
    </row>
    <row r="34" ht="13.5" customHeight="1">
      <c r="A34" s="148"/>
      <c r="B34" s="149"/>
      <c r="C34" s="150"/>
      <c r="D34" s="151" t="s">
        <v>2224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 t="s">
        <v>742</v>
      </c>
      <c r="U34" s="153"/>
    </row>
    <row r="35" ht="13.5" customHeight="1">
      <c r="A35" s="148"/>
      <c r="B35" s="149"/>
      <c r="C35" s="150"/>
      <c r="D35" s="151" t="s">
        <v>2227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3" t="s">
        <v>742</v>
      </c>
    </row>
    <row r="36" ht="13.5" customHeight="1">
      <c r="A36" s="148"/>
      <c r="B36" s="154"/>
      <c r="C36" s="155"/>
      <c r="D36" s="156"/>
      <c r="E36" s="157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9"/>
    </row>
    <row r="37" ht="13.5" customHeight="1">
      <c r="A37" s="160" t="s">
        <v>802</v>
      </c>
      <c r="B37" s="161" t="s">
        <v>804</v>
      </c>
      <c r="C37" s="162"/>
      <c r="D37" s="163"/>
      <c r="E37" s="164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7"/>
    </row>
    <row r="38" ht="13.5" customHeight="1">
      <c r="A38" s="165"/>
      <c r="B38" s="166"/>
      <c r="C38" s="167"/>
      <c r="D38" s="168" t="s">
        <v>2232</v>
      </c>
      <c r="E38" s="169"/>
      <c r="F38" s="152" t="s">
        <v>742</v>
      </c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3"/>
    </row>
    <row r="39" ht="13.5" customHeight="1">
      <c r="A39" s="165"/>
      <c r="B39" s="166"/>
      <c r="C39" s="167"/>
      <c r="D39" s="168" t="s">
        <v>2235</v>
      </c>
      <c r="E39" s="169"/>
      <c r="F39" s="152"/>
      <c r="G39" s="152" t="s">
        <v>742</v>
      </c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3"/>
    </row>
    <row r="40" ht="13.5" customHeight="1">
      <c r="A40" s="165"/>
      <c r="B40" s="166"/>
      <c r="C40" s="167"/>
      <c r="D40" s="168" t="s">
        <v>2237</v>
      </c>
      <c r="E40" s="169"/>
      <c r="F40" s="152"/>
      <c r="G40" s="152"/>
      <c r="H40" s="152"/>
      <c r="I40" s="152"/>
      <c r="J40" s="152" t="s">
        <v>742</v>
      </c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3"/>
    </row>
    <row r="41" ht="13.5" customHeight="1">
      <c r="A41" s="165"/>
      <c r="B41" s="166"/>
      <c r="C41" s="167"/>
      <c r="D41" s="168" t="s">
        <v>2239</v>
      </c>
      <c r="E41" s="169"/>
      <c r="F41" s="152"/>
      <c r="G41" s="152"/>
      <c r="H41" s="152"/>
      <c r="I41" s="152"/>
      <c r="J41" s="152"/>
      <c r="K41" s="152" t="s">
        <v>742</v>
      </c>
      <c r="L41" s="152"/>
      <c r="M41" s="152"/>
      <c r="N41" s="152"/>
      <c r="O41" s="152"/>
      <c r="P41" s="152"/>
      <c r="Q41" s="152"/>
      <c r="R41" s="152"/>
      <c r="S41" s="152"/>
      <c r="T41" s="152"/>
      <c r="U41" s="153"/>
    </row>
    <row r="42" ht="13.5" customHeight="1">
      <c r="A42" s="165"/>
      <c r="B42" s="166"/>
      <c r="C42" s="167"/>
      <c r="D42" s="168" t="s">
        <v>2241</v>
      </c>
      <c r="E42" s="169"/>
      <c r="F42" s="152"/>
      <c r="G42" s="152"/>
      <c r="H42" s="152"/>
      <c r="I42" s="152"/>
      <c r="J42" s="152"/>
      <c r="K42" s="152"/>
      <c r="L42" s="152" t="s">
        <v>742</v>
      </c>
      <c r="M42" s="152"/>
      <c r="N42" s="152"/>
      <c r="O42" s="152"/>
      <c r="P42" s="152"/>
      <c r="Q42" s="152"/>
      <c r="R42" s="152"/>
      <c r="S42" s="152"/>
      <c r="T42" s="152"/>
      <c r="U42" s="153"/>
    </row>
    <row r="43" ht="13.5" customHeight="1">
      <c r="A43" s="165"/>
      <c r="B43" s="166"/>
      <c r="C43" s="167"/>
      <c r="D43" s="168" t="s">
        <v>2243</v>
      </c>
      <c r="E43" s="169"/>
      <c r="F43" s="152"/>
      <c r="G43" s="152"/>
      <c r="H43" s="152"/>
      <c r="I43" s="152"/>
      <c r="J43" s="152"/>
      <c r="K43" s="152"/>
      <c r="L43" s="152"/>
      <c r="M43" s="152" t="s">
        <v>742</v>
      </c>
      <c r="N43" s="152"/>
      <c r="O43" s="152"/>
      <c r="P43" s="152"/>
      <c r="Q43" s="152"/>
      <c r="R43" s="152"/>
      <c r="S43" s="152"/>
      <c r="T43" s="152"/>
      <c r="U43" s="153"/>
    </row>
    <row r="44" ht="13.5" customHeight="1">
      <c r="A44" s="165"/>
      <c r="B44" s="166"/>
      <c r="C44" s="167"/>
      <c r="D44" s="168" t="s">
        <v>2246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 t="s">
        <v>742</v>
      </c>
      <c r="Q44" s="152"/>
      <c r="R44" s="152"/>
      <c r="S44" s="152"/>
      <c r="T44" s="152"/>
      <c r="U44" s="153"/>
    </row>
    <row r="45" ht="13.5" customHeight="1">
      <c r="A45" s="165"/>
      <c r="B45" s="166"/>
      <c r="C45" s="167"/>
      <c r="D45" s="168" t="s">
        <v>2248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 t="s">
        <v>742</v>
      </c>
      <c r="R45" s="152"/>
      <c r="S45" s="152"/>
      <c r="T45" s="152"/>
      <c r="U45" s="153"/>
    </row>
    <row r="46" ht="13.5" customHeight="1">
      <c r="A46" s="165"/>
      <c r="B46" s="166"/>
      <c r="C46" s="167"/>
      <c r="D46" s="168" t="s">
        <v>2249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 t="s">
        <v>742</v>
      </c>
      <c r="S46" s="152"/>
      <c r="T46" s="152"/>
      <c r="U46" s="153"/>
    </row>
    <row r="47" ht="13.5" customHeight="1">
      <c r="A47" s="165"/>
      <c r="B47" s="166"/>
      <c r="C47" s="167"/>
      <c r="D47" s="168" t="s">
        <v>2250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 t="s">
        <v>742</v>
      </c>
      <c r="T47" s="152"/>
      <c r="U47" s="153"/>
    </row>
    <row r="48" ht="13.5" customHeight="1">
      <c r="A48" s="165"/>
      <c r="B48" s="166"/>
      <c r="C48" s="167"/>
      <c r="D48" s="168" t="s">
        <v>2251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 t="s">
        <v>742</v>
      </c>
      <c r="U48" s="153"/>
    </row>
    <row r="49" ht="13.5" customHeight="1">
      <c r="A49" s="165"/>
      <c r="B49" s="166"/>
      <c r="C49" s="167"/>
      <c r="D49" s="168" t="s">
        <v>2049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3" t="s">
        <v>742</v>
      </c>
    </row>
    <row r="50" ht="13.5" customHeight="1">
      <c r="A50" s="165"/>
      <c r="B50" s="166" t="s">
        <v>825</v>
      </c>
      <c r="C50" s="167"/>
      <c r="D50" s="168"/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3"/>
    </row>
    <row r="51" ht="13.5" customHeight="1">
      <c r="A51" s="165"/>
      <c r="B51" s="166"/>
      <c r="C51" s="167"/>
      <c r="D51" s="168" t="s">
        <v>2195</v>
      </c>
      <c r="E51" s="169"/>
      <c r="F51" s="152"/>
      <c r="G51" s="152"/>
      <c r="H51" s="152" t="s">
        <v>742</v>
      </c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3"/>
    </row>
    <row r="52" ht="13.5" customHeight="1">
      <c r="A52" s="165"/>
      <c r="B52" s="166"/>
      <c r="C52" s="167"/>
      <c r="D52" s="168" t="s">
        <v>2260</v>
      </c>
      <c r="E52" s="169"/>
      <c r="F52" s="152"/>
      <c r="G52" s="152"/>
      <c r="H52" s="152"/>
      <c r="I52" s="152" t="s">
        <v>742</v>
      </c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3"/>
    </row>
    <row r="53" ht="13.5" customHeight="1">
      <c r="A53" s="165"/>
      <c r="B53" s="166"/>
      <c r="C53" s="167"/>
      <c r="D53" s="168" t="s">
        <v>1522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 t="s">
        <v>742</v>
      </c>
      <c r="O53" s="152"/>
      <c r="P53" s="152"/>
      <c r="Q53" s="152"/>
      <c r="R53" s="152"/>
      <c r="S53" s="152"/>
      <c r="T53" s="152"/>
      <c r="U53" s="153"/>
    </row>
    <row r="54" ht="13.5" customHeight="1">
      <c r="A54" s="165"/>
      <c r="B54" s="166"/>
      <c r="C54" s="167"/>
      <c r="D54" s="168" t="s">
        <v>1523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 t="s">
        <v>742</v>
      </c>
      <c r="P54" s="152"/>
      <c r="Q54" s="152"/>
      <c r="R54" s="152"/>
      <c r="S54" s="152"/>
      <c r="T54" s="152"/>
      <c r="U54" s="153"/>
    </row>
    <row r="55" ht="13.5" customHeight="1">
      <c r="A55" s="165"/>
      <c r="B55" s="166" t="s">
        <v>854</v>
      </c>
      <c r="C55" s="167"/>
      <c r="D55" s="168"/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3"/>
    </row>
    <row r="56" ht="13.5" customHeight="1">
      <c r="A56" s="165"/>
      <c r="B56" s="170"/>
      <c r="C56" s="171"/>
      <c r="D56" s="172"/>
      <c r="E56" s="173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5"/>
    </row>
    <row r="57" ht="13.5" customHeight="1">
      <c r="A57" s="160" t="s">
        <v>865</v>
      </c>
      <c r="B57" s="176" t="s">
        <v>866</v>
      </c>
      <c r="C57" s="177"/>
      <c r="D57" s="178"/>
      <c r="E57" s="179"/>
      <c r="F57" s="180" t="s">
        <v>54</v>
      </c>
      <c r="G57" s="180" t="s">
        <v>54</v>
      </c>
      <c r="H57" s="180" t="s">
        <v>55</v>
      </c>
      <c r="I57" s="180" t="s">
        <v>55</v>
      </c>
      <c r="J57" s="180" t="s">
        <v>54</v>
      </c>
      <c r="K57" s="180" t="s">
        <v>57</v>
      </c>
      <c r="L57" s="180" t="s">
        <v>54</v>
      </c>
      <c r="M57" s="180" t="s">
        <v>57</v>
      </c>
      <c r="N57" s="180" t="s">
        <v>55</v>
      </c>
      <c r="O57" s="180" t="s">
        <v>57</v>
      </c>
      <c r="P57" s="180" t="s">
        <v>54</v>
      </c>
      <c r="Q57" s="180" t="s">
        <v>54</v>
      </c>
      <c r="R57" s="180" t="s">
        <v>54</v>
      </c>
      <c r="S57" s="180" t="s">
        <v>57</v>
      </c>
      <c r="T57" s="180" t="s">
        <v>54</v>
      </c>
      <c r="U57" s="181" t="s">
        <v>54</v>
      </c>
    </row>
    <row r="58" ht="13.5" customHeight="1">
      <c r="A58" s="165"/>
      <c r="B58" s="182" t="s">
        <v>867</v>
      </c>
      <c r="C58" s="27"/>
      <c r="D58" s="25"/>
      <c r="E58" s="183"/>
      <c r="F58" s="184" t="s">
        <v>868</v>
      </c>
      <c r="G58" s="184" t="s">
        <v>868</v>
      </c>
      <c r="H58" s="184" t="s">
        <v>868</v>
      </c>
      <c r="I58" s="184" t="s">
        <v>868</v>
      </c>
      <c r="J58" s="184" t="s">
        <v>868</v>
      </c>
      <c r="K58" s="184" t="s">
        <v>868</v>
      </c>
      <c r="L58" s="184" t="s">
        <v>868</v>
      </c>
      <c r="M58" s="184" t="s">
        <v>868</v>
      </c>
      <c r="N58" s="184" t="s">
        <v>868</v>
      </c>
      <c r="O58" s="184" t="s">
        <v>868</v>
      </c>
      <c r="P58" s="184" t="s">
        <v>868</v>
      </c>
      <c r="Q58" s="184" t="s">
        <v>868</v>
      </c>
      <c r="R58" s="184" t="s">
        <v>868</v>
      </c>
      <c r="S58" s="184" t="s">
        <v>868</v>
      </c>
      <c r="T58" s="184" t="s">
        <v>868</v>
      </c>
      <c r="U58" s="185" t="s">
        <v>868</v>
      </c>
    </row>
    <row r="59" ht="99.75" customHeight="1">
      <c r="A59" s="165"/>
      <c r="B59" s="186" t="s">
        <v>869</v>
      </c>
      <c r="C59" s="27"/>
      <c r="D59" s="25"/>
      <c r="E59" s="169"/>
      <c r="F59" s="187">
        <v>46273.0</v>
      </c>
      <c r="G59" s="187">
        <v>46273.0</v>
      </c>
      <c r="H59" s="187">
        <v>46273.0</v>
      </c>
      <c r="I59" s="187">
        <v>46273.0</v>
      </c>
      <c r="J59" s="187">
        <v>46273.0</v>
      </c>
      <c r="K59" s="187">
        <v>46273.0</v>
      </c>
      <c r="L59" s="187">
        <v>46273.0</v>
      </c>
      <c r="M59" s="187">
        <v>46273.0</v>
      </c>
      <c r="N59" s="187">
        <v>46273.0</v>
      </c>
      <c r="O59" s="187">
        <v>46273.0</v>
      </c>
      <c r="P59" s="187">
        <v>46273.0</v>
      </c>
      <c r="Q59" s="187">
        <v>46273.0</v>
      </c>
      <c r="R59" s="187">
        <v>46273.0</v>
      </c>
      <c r="S59" s="187">
        <v>46273.0</v>
      </c>
      <c r="T59" s="187">
        <v>46273.0</v>
      </c>
      <c r="U59" s="189">
        <v>46273.0</v>
      </c>
    </row>
    <row r="60" ht="72.75" customHeight="1">
      <c r="A60" s="190"/>
      <c r="B60" s="191" t="s">
        <v>870</v>
      </c>
      <c r="C60" s="192"/>
      <c r="D60" s="193"/>
      <c r="E60" s="194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6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U2"/>
    <mergeCell ref="C3:E3"/>
    <mergeCell ref="F3:K3"/>
    <mergeCell ref="L3:U3"/>
    <mergeCell ref="A3:B3"/>
    <mergeCell ref="A4:B4"/>
    <mergeCell ref="C4:D4"/>
    <mergeCell ref="F4:K4"/>
    <mergeCell ref="L4:U4"/>
    <mergeCell ref="A5:B5"/>
    <mergeCell ref="C5:U5"/>
    <mergeCell ref="O6:U6"/>
    <mergeCell ref="O7:U7"/>
    <mergeCell ref="B57:D57"/>
    <mergeCell ref="B58:D58"/>
    <mergeCell ref="B59:D59"/>
    <mergeCell ref="B60:D60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446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409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189.0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2204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COUNTIF(F44:T44,"P")</f>
        <v>10</v>
      </c>
      <c r="B7" s="130"/>
      <c r="C7" s="131">
        <f>COUNTIF(F44:T44,"F")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COUNTIF(F43:T43,"N")</f>
        <v>3</v>
      </c>
      <c r="M7" s="132">
        <f>COUNTIF(F43:T43,"A")</f>
        <v>5</v>
      </c>
      <c r="N7" s="132">
        <f>COUNTIF(F43:T43,"B")</f>
        <v>2</v>
      </c>
      <c r="O7" s="133">
        <f>COUNTA(F9:T9)</f>
        <v>10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2218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2220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2222</v>
      </c>
      <c r="E13" s="145"/>
      <c r="F13" s="152"/>
      <c r="G13" s="152"/>
      <c r="H13" s="152" t="s">
        <v>742</v>
      </c>
      <c r="I13" s="152" t="s">
        <v>742</v>
      </c>
      <c r="J13" s="152" t="s">
        <v>742</v>
      </c>
      <c r="K13" s="152" t="s">
        <v>742</v>
      </c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2226</v>
      </c>
      <c r="E14" s="145"/>
      <c r="F14" s="152"/>
      <c r="G14" s="152"/>
      <c r="H14" s="152"/>
      <c r="I14" s="152"/>
      <c r="J14" s="152"/>
      <c r="K14" s="152"/>
      <c r="L14" s="152" t="s">
        <v>742</v>
      </c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2228</v>
      </c>
      <c r="E15" s="145"/>
      <c r="F15" s="152"/>
      <c r="G15" s="152"/>
      <c r="H15" s="152"/>
      <c r="I15" s="152"/>
      <c r="J15" s="152"/>
      <c r="K15" s="152"/>
      <c r="L15" s="152"/>
      <c r="M15" s="152" t="s">
        <v>742</v>
      </c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2229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 t="s">
        <v>742</v>
      </c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2230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 t="s">
        <v>742</v>
      </c>
      <c r="P17" s="152"/>
      <c r="Q17" s="152"/>
      <c r="R17" s="152"/>
      <c r="S17" s="152"/>
      <c r="T17" s="153"/>
    </row>
    <row r="18" ht="13.5" customHeight="1">
      <c r="A18" s="148"/>
      <c r="B18" s="149" t="s">
        <v>768</v>
      </c>
      <c r="C18" s="150"/>
      <c r="D18" s="151"/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2231</v>
      </c>
      <c r="E19" s="145"/>
      <c r="F19" s="152" t="s">
        <v>742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2233</v>
      </c>
      <c r="E20" s="145"/>
      <c r="F20" s="152"/>
      <c r="G20" s="152" t="s">
        <v>742</v>
      </c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2234</v>
      </c>
      <c r="E21" s="145"/>
      <c r="F21" s="152"/>
      <c r="G21" s="152"/>
      <c r="H21" s="152" t="s">
        <v>742</v>
      </c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2236</v>
      </c>
      <c r="E22" s="145"/>
      <c r="F22" s="152"/>
      <c r="G22" s="152"/>
      <c r="H22" s="152"/>
      <c r="I22" s="152" t="s">
        <v>742</v>
      </c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2238</v>
      </c>
      <c r="E23" s="145"/>
      <c r="F23" s="152"/>
      <c r="G23" s="152"/>
      <c r="H23" s="152"/>
      <c r="I23" s="152"/>
      <c r="J23" s="152" t="s">
        <v>742</v>
      </c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2240</v>
      </c>
      <c r="E24" s="145"/>
      <c r="F24" s="152"/>
      <c r="G24" s="152"/>
      <c r="H24" s="152"/>
      <c r="I24" s="152"/>
      <c r="J24" s="152"/>
      <c r="K24" s="152" t="s">
        <v>742</v>
      </c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2242</v>
      </c>
      <c r="E25" s="145"/>
      <c r="F25" s="152"/>
      <c r="G25" s="152"/>
      <c r="H25" s="152"/>
      <c r="I25" s="152"/>
      <c r="J25" s="152"/>
      <c r="K25" s="152"/>
      <c r="L25" s="152" t="s">
        <v>742</v>
      </c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2244</v>
      </c>
      <c r="E26" s="145"/>
      <c r="F26" s="152"/>
      <c r="G26" s="152"/>
      <c r="H26" s="152"/>
      <c r="I26" s="152"/>
      <c r="J26" s="152"/>
      <c r="K26" s="152"/>
      <c r="L26" s="152"/>
      <c r="M26" s="152" t="s">
        <v>742</v>
      </c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2245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 t="s">
        <v>742</v>
      </c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2247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 t="s">
        <v>742</v>
      </c>
      <c r="P28" s="152"/>
      <c r="Q28" s="152"/>
      <c r="R28" s="152"/>
      <c r="S28" s="152"/>
      <c r="T28" s="153"/>
    </row>
    <row r="29" ht="13.5" customHeight="1">
      <c r="A29" s="148"/>
      <c r="B29" s="154"/>
      <c r="C29" s="155"/>
      <c r="D29" s="156"/>
      <c r="E29" s="157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9"/>
    </row>
    <row r="30" ht="13.5" customHeight="1">
      <c r="A30" s="160" t="s">
        <v>802</v>
      </c>
      <c r="B30" s="161" t="s">
        <v>804</v>
      </c>
      <c r="C30" s="162"/>
      <c r="D30" s="163"/>
      <c r="E30" s="164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7"/>
    </row>
    <row r="31" ht="13.5" customHeight="1">
      <c r="A31" s="165"/>
      <c r="B31" s="166"/>
      <c r="C31" s="167"/>
      <c r="D31" s="168" t="s">
        <v>2254</v>
      </c>
      <c r="E31" s="169"/>
      <c r="F31" s="152" t="s">
        <v>742</v>
      </c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/>
      <c r="C32" s="167"/>
      <c r="D32" s="168" t="s">
        <v>2256</v>
      </c>
      <c r="E32" s="169"/>
      <c r="F32" s="152"/>
      <c r="G32" s="152" t="s">
        <v>742</v>
      </c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2259</v>
      </c>
      <c r="E33" s="169"/>
      <c r="F33" s="152"/>
      <c r="G33" s="152"/>
      <c r="H33" s="152" t="s">
        <v>742</v>
      </c>
      <c r="I33" s="152" t="s">
        <v>742</v>
      </c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2262</v>
      </c>
      <c r="E34" s="169"/>
      <c r="F34" s="152"/>
      <c r="G34" s="152"/>
      <c r="H34" s="152"/>
      <c r="I34" s="152"/>
      <c r="J34" s="152"/>
      <c r="K34" s="152"/>
      <c r="L34" s="152"/>
      <c r="M34" s="152" t="s">
        <v>742</v>
      </c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 t="s">
        <v>825</v>
      </c>
      <c r="C35" s="167"/>
      <c r="D35" s="168"/>
      <c r="E35" s="169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2265</v>
      </c>
      <c r="E36" s="169"/>
      <c r="F36" s="152"/>
      <c r="G36" s="152"/>
      <c r="H36" s="152"/>
      <c r="I36" s="152"/>
      <c r="J36" s="152" t="s">
        <v>742</v>
      </c>
      <c r="K36" s="152"/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2267</v>
      </c>
      <c r="E37" s="169"/>
      <c r="F37" s="152"/>
      <c r="G37" s="152"/>
      <c r="H37" s="152"/>
      <c r="I37" s="152"/>
      <c r="J37" s="152"/>
      <c r="K37" s="152" t="s">
        <v>742</v>
      </c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2269</v>
      </c>
      <c r="E38" s="169"/>
      <c r="F38" s="152"/>
      <c r="G38" s="152"/>
      <c r="H38" s="152"/>
      <c r="I38" s="152"/>
      <c r="J38" s="152"/>
      <c r="K38" s="152"/>
      <c r="L38" s="152" t="s">
        <v>742</v>
      </c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2271</v>
      </c>
      <c r="E39" s="169"/>
      <c r="F39" s="152"/>
      <c r="G39" s="152"/>
      <c r="H39" s="152"/>
      <c r="I39" s="152"/>
      <c r="J39" s="152"/>
      <c r="K39" s="152"/>
      <c r="L39" s="152"/>
      <c r="M39" s="152"/>
      <c r="N39" s="152" t="s">
        <v>742</v>
      </c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2272</v>
      </c>
      <c r="E40" s="169"/>
      <c r="F40" s="152"/>
      <c r="G40" s="152"/>
      <c r="H40" s="152"/>
      <c r="I40" s="152"/>
      <c r="J40" s="152"/>
      <c r="K40" s="152"/>
      <c r="L40" s="152"/>
      <c r="M40" s="152"/>
      <c r="N40" s="152"/>
      <c r="O40" s="152" t="s">
        <v>742</v>
      </c>
      <c r="P40" s="152"/>
      <c r="Q40" s="152"/>
      <c r="R40" s="152"/>
      <c r="S40" s="152"/>
      <c r="T40" s="153"/>
    </row>
    <row r="41" ht="13.5" customHeight="1">
      <c r="A41" s="165"/>
      <c r="B41" s="166" t="s">
        <v>854</v>
      </c>
      <c r="C41" s="167"/>
      <c r="D41" s="168"/>
      <c r="E41" s="169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70"/>
      <c r="C42" s="171"/>
      <c r="D42" s="172"/>
      <c r="E42" s="173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5"/>
    </row>
    <row r="43" ht="13.5" customHeight="1">
      <c r="A43" s="160" t="s">
        <v>865</v>
      </c>
      <c r="B43" s="176" t="s">
        <v>866</v>
      </c>
      <c r="C43" s="177"/>
      <c r="D43" s="178"/>
      <c r="E43" s="179"/>
      <c r="F43" s="180" t="s">
        <v>54</v>
      </c>
      <c r="G43" s="180" t="s">
        <v>54</v>
      </c>
      <c r="H43" s="180" t="s">
        <v>57</v>
      </c>
      <c r="I43" s="180" t="s">
        <v>57</v>
      </c>
      <c r="J43" s="180" t="s">
        <v>55</v>
      </c>
      <c r="K43" s="180" t="s">
        <v>55</v>
      </c>
      <c r="L43" s="180" t="s">
        <v>55</v>
      </c>
      <c r="M43" s="180" t="s">
        <v>54</v>
      </c>
      <c r="N43" s="180" t="s">
        <v>55</v>
      </c>
      <c r="O43" s="180" t="s">
        <v>55</v>
      </c>
      <c r="P43" s="180"/>
      <c r="Q43" s="180"/>
      <c r="R43" s="180"/>
      <c r="S43" s="180"/>
      <c r="T43" s="181"/>
    </row>
    <row r="44" ht="13.5" customHeight="1">
      <c r="A44" s="165"/>
      <c r="B44" s="182" t="s">
        <v>867</v>
      </c>
      <c r="C44" s="27"/>
      <c r="D44" s="25"/>
      <c r="E44" s="183"/>
      <c r="F44" s="184" t="s">
        <v>868</v>
      </c>
      <c r="G44" s="184" t="s">
        <v>868</v>
      </c>
      <c r="H44" s="184" t="s">
        <v>868</v>
      </c>
      <c r="I44" s="184" t="s">
        <v>868</v>
      </c>
      <c r="J44" s="184" t="s">
        <v>868</v>
      </c>
      <c r="K44" s="184" t="s">
        <v>868</v>
      </c>
      <c r="L44" s="184" t="s">
        <v>868</v>
      </c>
      <c r="M44" s="184" t="s">
        <v>868</v>
      </c>
      <c r="N44" s="184" t="s">
        <v>868</v>
      </c>
      <c r="O44" s="184" t="s">
        <v>868</v>
      </c>
      <c r="P44" s="184"/>
      <c r="Q44" s="184"/>
      <c r="R44" s="184"/>
      <c r="S44" s="184"/>
      <c r="T44" s="185"/>
    </row>
    <row r="45" ht="99.75" customHeight="1">
      <c r="A45" s="165"/>
      <c r="B45" s="186" t="s">
        <v>869</v>
      </c>
      <c r="C45" s="27"/>
      <c r="D45" s="25"/>
      <c r="E45" s="169"/>
      <c r="F45" s="187">
        <v>46294.0</v>
      </c>
      <c r="G45" s="187">
        <v>46294.0</v>
      </c>
      <c r="H45" s="187">
        <v>46294.0</v>
      </c>
      <c r="I45" s="187">
        <v>46294.0</v>
      </c>
      <c r="J45" s="187">
        <v>46294.0</v>
      </c>
      <c r="K45" s="187">
        <v>46294.0</v>
      </c>
      <c r="L45" s="187">
        <v>46294.0</v>
      </c>
      <c r="M45" s="187">
        <v>46294.0</v>
      </c>
      <c r="N45" s="187">
        <v>46294.0</v>
      </c>
      <c r="O45" s="187">
        <v>46294.0</v>
      </c>
      <c r="P45" s="187"/>
      <c r="Q45" s="187"/>
      <c r="R45" s="187"/>
      <c r="S45" s="187"/>
      <c r="T45" s="188"/>
    </row>
    <row r="46" ht="72.75" customHeight="1">
      <c r="A46" s="190"/>
      <c r="B46" s="191" t="s">
        <v>870</v>
      </c>
      <c r="C46" s="192"/>
      <c r="D46" s="193"/>
      <c r="E46" s="194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6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3:D43"/>
    <mergeCell ref="B44:D44"/>
    <mergeCell ref="B45:D45"/>
    <mergeCell ref="B46:D46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451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416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280.0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2225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COUNTIF(F49:T49,"P")</f>
        <v>12</v>
      </c>
      <c r="B7" s="130"/>
      <c r="C7" s="131">
        <f>COUNTIF(F49:T49,"F")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COUNTIF(F48:T48,"N")</f>
        <v>7</v>
      </c>
      <c r="M7" s="132">
        <f>COUNTIF(F48:T48,"A")</f>
        <v>5</v>
      </c>
      <c r="N7" s="132">
        <f>COUNTIF(F48:T48,"B")</f>
        <v>0</v>
      </c>
      <c r="O7" s="133">
        <f>COUNTA(F9:T9)</f>
        <v>12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2252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2253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2255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2257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2258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2261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 t="s">
        <v>742</v>
      </c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2263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2264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2266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2268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 t="s">
        <v>742</v>
      </c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2270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 t="s">
        <v>742</v>
      </c>
      <c r="R21" s="152"/>
      <c r="S21" s="152"/>
      <c r="T21" s="153"/>
    </row>
    <row r="22" ht="13.5" customHeight="1">
      <c r="A22" s="148"/>
      <c r="B22" s="149" t="s">
        <v>768</v>
      </c>
      <c r="C22" s="150"/>
      <c r="D22" s="151"/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2273</v>
      </c>
      <c r="E23" s="145"/>
      <c r="F23" s="152" t="s">
        <v>742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2274</v>
      </c>
      <c r="E24" s="145"/>
      <c r="F24" s="152"/>
      <c r="G24" s="152" t="s">
        <v>742</v>
      </c>
      <c r="H24" s="152" t="s">
        <v>742</v>
      </c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2275</v>
      </c>
      <c r="E25" s="145"/>
      <c r="F25" s="152"/>
      <c r="G25" s="152"/>
      <c r="H25" s="152"/>
      <c r="I25" s="152" t="s">
        <v>742</v>
      </c>
      <c r="J25" s="152" t="s">
        <v>742</v>
      </c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2276</v>
      </c>
      <c r="E26" s="145"/>
      <c r="F26" s="152"/>
      <c r="G26" s="152"/>
      <c r="H26" s="152"/>
      <c r="I26" s="152"/>
      <c r="J26" s="152"/>
      <c r="K26" s="152" t="s">
        <v>742</v>
      </c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2277</v>
      </c>
      <c r="E27" s="145"/>
      <c r="F27" s="152"/>
      <c r="G27" s="152"/>
      <c r="H27" s="152"/>
      <c r="I27" s="152"/>
      <c r="J27" s="152"/>
      <c r="K27" s="152"/>
      <c r="L27" s="152" t="s">
        <v>742</v>
      </c>
      <c r="M27" s="152"/>
      <c r="N27" s="152" t="s">
        <v>742</v>
      </c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2278</v>
      </c>
      <c r="E28" s="145"/>
      <c r="F28" s="152"/>
      <c r="G28" s="152"/>
      <c r="H28" s="152"/>
      <c r="I28" s="152"/>
      <c r="J28" s="152"/>
      <c r="K28" s="152"/>
      <c r="L28" s="152"/>
      <c r="M28" s="152" t="s">
        <v>742</v>
      </c>
      <c r="N28" s="152"/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2279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 t="s">
        <v>742</v>
      </c>
      <c r="P29" s="152" t="s">
        <v>742</v>
      </c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2280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 t="s">
        <v>742</v>
      </c>
      <c r="R30" s="152"/>
      <c r="S30" s="152"/>
      <c r="T30" s="153"/>
    </row>
    <row r="31" ht="13.5" customHeight="1">
      <c r="A31" s="148"/>
      <c r="B31" s="154"/>
      <c r="C31" s="155"/>
      <c r="D31" s="156"/>
      <c r="E31" s="15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9"/>
    </row>
    <row r="32" ht="13.5" customHeight="1">
      <c r="A32" s="160" t="s">
        <v>802</v>
      </c>
      <c r="B32" s="161" t="s">
        <v>804</v>
      </c>
      <c r="C32" s="162"/>
      <c r="D32" s="163"/>
      <c r="E32" s="164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7"/>
    </row>
    <row r="33" ht="13.5" customHeight="1">
      <c r="A33" s="165"/>
      <c r="B33" s="166"/>
      <c r="C33" s="167"/>
      <c r="D33" s="168" t="s">
        <v>2281</v>
      </c>
      <c r="E33" s="169"/>
      <c r="F33" s="152" t="s">
        <v>742</v>
      </c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2282</v>
      </c>
      <c r="E34" s="169"/>
      <c r="F34" s="152"/>
      <c r="G34" s="152"/>
      <c r="H34" s="152" t="s">
        <v>742</v>
      </c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2283</v>
      </c>
      <c r="E35" s="169"/>
      <c r="F35" s="152"/>
      <c r="G35" s="152"/>
      <c r="H35" s="152"/>
      <c r="I35" s="152" t="s">
        <v>742</v>
      </c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2284</v>
      </c>
      <c r="E36" s="169"/>
      <c r="F36" s="152"/>
      <c r="G36" s="152"/>
      <c r="H36" s="152"/>
      <c r="I36" s="152"/>
      <c r="J36" s="152"/>
      <c r="K36" s="152" t="s">
        <v>742</v>
      </c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2285</v>
      </c>
      <c r="E37" s="169"/>
      <c r="F37" s="152"/>
      <c r="G37" s="152"/>
      <c r="H37" s="152"/>
      <c r="I37" s="152"/>
      <c r="J37" s="152"/>
      <c r="K37" s="152"/>
      <c r="L37" s="152" t="s">
        <v>742</v>
      </c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2286</v>
      </c>
      <c r="E38" s="169"/>
      <c r="F38" s="152"/>
      <c r="G38" s="152"/>
      <c r="H38" s="152"/>
      <c r="I38" s="152"/>
      <c r="J38" s="152"/>
      <c r="K38" s="152"/>
      <c r="L38" s="152"/>
      <c r="M38" s="152"/>
      <c r="N38" s="152" t="s">
        <v>742</v>
      </c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2287</v>
      </c>
      <c r="E39" s="169"/>
      <c r="F39" s="152"/>
      <c r="G39" s="152"/>
      <c r="H39" s="152"/>
      <c r="I39" s="152"/>
      <c r="J39" s="152"/>
      <c r="K39" s="152"/>
      <c r="L39" s="152"/>
      <c r="M39" s="152"/>
      <c r="N39" s="152"/>
      <c r="O39" s="152" t="s">
        <v>742</v>
      </c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2288</v>
      </c>
      <c r="E40" s="169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 t="s">
        <v>742</v>
      </c>
      <c r="R40" s="152"/>
      <c r="S40" s="152"/>
      <c r="T40" s="153"/>
    </row>
    <row r="41" ht="13.5" customHeight="1">
      <c r="A41" s="165"/>
      <c r="B41" s="166" t="s">
        <v>825</v>
      </c>
      <c r="C41" s="167"/>
      <c r="D41" s="168"/>
      <c r="E41" s="169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2289</v>
      </c>
      <c r="E42" s="169"/>
      <c r="F42" s="152"/>
      <c r="G42" s="152" t="s">
        <v>742</v>
      </c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2290</v>
      </c>
      <c r="E43" s="169"/>
      <c r="F43" s="152"/>
      <c r="G43" s="152"/>
      <c r="H43" s="152"/>
      <c r="I43" s="152"/>
      <c r="J43" s="152" t="s">
        <v>742</v>
      </c>
      <c r="K43" s="152"/>
      <c r="L43" s="152"/>
      <c r="M43" s="152"/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2291</v>
      </c>
      <c r="E44" s="169"/>
      <c r="F44" s="152"/>
      <c r="G44" s="152"/>
      <c r="H44" s="152"/>
      <c r="I44" s="152"/>
      <c r="J44" s="152"/>
      <c r="K44" s="152"/>
      <c r="L44" s="152"/>
      <c r="M44" s="152" t="s">
        <v>742</v>
      </c>
      <c r="N44" s="152"/>
      <c r="O44" s="152"/>
      <c r="P44" s="152"/>
      <c r="Q44" s="152"/>
      <c r="R44" s="152"/>
      <c r="S44" s="152"/>
      <c r="T44" s="153"/>
    </row>
    <row r="45" ht="13.5" customHeight="1">
      <c r="A45" s="165"/>
      <c r="B45" s="166"/>
      <c r="C45" s="167"/>
      <c r="D45" s="168" t="s">
        <v>2292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 t="s">
        <v>742</v>
      </c>
      <c r="Q45" s="152"/>
      <c r="R45" s="152"/>
      <c r="S45" s="152"/>
      <c r="T45" s="153"/>
    </row>
    <row r="46" ht="13.5" customHeight="1">
      <c r="A46" s="165"/>
      <c r="B46" s="166" t="s">
        <v>854</v>
      </c>
      <c r="C46" s="167"/>
      <c r="D46" s="168"/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3"/>
    </row>
    <row r="47" ht="13.5" customHeight="1">
      <c r="A47" s="165"/>
      <c r="B47" s="170"/>
      <c r="C47" s="171"/>
      <c r="D47" s="172"/>
      <c r="E47" s="173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5"/>
    </row>
    <row r="48" ht="13.5" customHeight="1">
      <c r="A48" s="160" t="s">
        <v>865</v>
      </c>
      <c r="B48" s="176" t="s">
        <v>866</v>
      </c>
      <c r="C48" s="177"/>
      <c r="D48" s="178"/>
      <c r="E48" s="179"/>
      <c r="F48" s="180" t="s">
        <v>54</v>
      </c>
      <c r="G48" s="180" t="s">
        <v>55</v>
      </c>
      <c r="H48" s="180" t="s">
        <v>55</v>
      </c>
      <c r="I48" s="180" t="s">
        <v>54</v>
      </c>
      <c r="J48" s="180" t="s">
        <v>55</v>
      </c>
      <c r="K48" s="180" t="s">
        <v>54</v>
      </c>
      <c r="L48" s="180" t="s">
        <v>54</v>
      </c>
      <c r="M48" s="180" t="s">
        <v>55</v>
      </c>
      <c r="N48" s="180" t="s">
        <v>54</v>
      </c>
      <c r="O48" s="180" t="s">
        <v>54</v>
      </c>
      <c r="P48" s="180" t="s">
        <v>55</v>
      </c>
      <c r="Q48" s="180" t="s">
        <v>54</v>
      </c>
      <c r="R48" s="180"/>
      <c r="S48" s="180"/>
      <c r="T48" s="181"/>
    </row>
    <row r="49" ht="13.5" customHeight="1">
      <c r="A49" s="165"/>
      <c r="B49" s="182" t="s">
        <v>867</v>
      </c>
      <c r="C49" s="27"/>
      <c r="D49" s="25"/>
      <c r="E49" s="183"/>
      <c r="F49" s="184" t="s">
        <v>868</v>
      </c>
      <c r="G49" s="184" t="s">
        <v>868</v>
      </c>
      <c r="H49" s="184" t="s">
        <v>868</v>
      </c>
      <c r="I49" s="184" t="s">
        <v>868</v>
      </c>
      <c r="J49" s="184" t="s">
        <v>868</v>
      </c>
      <c r="K49" s="184" t="s">
        <v>868</v>
      </c>
      <c r="L49" s="184" t="s">
        <v>868</v>
      </c>
      <c r="M49" s="184" t="s">
        <v>868</v>
      </c>
      <c r="N49" s="184" t="s">
        <v>868</v>
      </c>
      <c r="O49" s="184" t="s">
        <v>868</v>
      </c>
      <c r="P49" s="184" t="s">
        <v>868</v>
      </c>
      <c r="Q49" s="184" t="s">
        <v>868</v>
      </c>
      <c r="R49" s="184"/>
      <c r="S49" s="184"/>
      <c r="T49" s="185"/>
    </row>
    <row r="50" ht="99.75" customHeight="1">
      <c r="A50" s="165"/>
      <c r="B50" s="186" t="s">
        <v>869</v>
      </c>
      <c r="C50" s="27"/>
      <c r="D50" s="25"/>
      <c r="E50" s="169"/>
      <c r="F50" s="187">
        <v>46294.0</v>
      </c>
      <c r="G50" s="187">
        <v>46294.0</v>
      </c>
      <c r="H50" s="187">
        <v>46294.0</v>
      </c>
      <c r="I50" s="187">
        <v>46294.0</v>
      </c>
      <c r="J50" s="187">
        <v>46294.0</v>
      </c>
      <c r="K50" s="187">
        <v>46294.0</v>
      </c>
      <c r="L50" s="187">
        <v>46294.0</v>
      </c>
      <c r="M50" s="187">
        <v>46294.0</v>
      </c>
      <c r="N50" s="187">
        <v>46294.0</v>
      </c>
      <c r="O50" s="187">
        <v>46294.0</v>
      </c>
      <c r="P50" s="187">
        <v>46294.0</v>
      </c>
      <c r="Q50" s="187">
        <v>46294.0</v>
      </c>
      <c r="R50" s="187"/>
      <c r="S50" s="187"/>
      <c r="T50" s="188"/>
    </row>
    <row r="51" ht="72.75" customHeight="1">
      <c r="A51" s="190"/>
      <c r="B51" s="191" t="s">
        <v>870</v>
      </c>
      <c r="C51" s="192"/>
      <c r="D51" s="193"/>
      <c r="E51" s="194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6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8:D48"/>
    <mergeCell ref="B49:D49"/>
    <mergeCell ref="B50:D50"/>
    <mergeCell ref="B51:D51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461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424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33.0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2293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COUNTIF(F38:T38,"P")</f>
        <v>8</v>
      </c>
      <c r="B7" s="130"/>
      <c r="C7" s="131">
        <f>COUNTIF(F38:T38,"F")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COUNTIF(F37:T37,"N")</f>
        <v>5</v>
      </c>
      <c r="M7" s="132">
        <f>COUNTIF(F37:T37,"A")</f>
        <v>2</v>
      </c>
      <c r="N7" s="132">
        <f>COUNTIF(F37:T37,"B")</f>
        <v>1</v>
      </c>
      <c r="O7" s="133">
        <f>COUNTA(F9:T9)</f>
        <v>8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/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2294</v>
      </c>
      <c r="E11" s="145"/>
      <c r="F11" s="152" t="s">
        <v>742</v>
      </c>
      <c r="G11" s="152" t="s">
        <v>742</v>
      </c>
      <c r="H11" s="152" t="s">
        <v>742</v>
      </c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2295</v>
      </c>
      <c r="E12" s="145"/>
      <c r="F12" s="152"/>
      <c r="G12" s="152"/>
      <c r="H12" s="152"/>
      <c r="I12" s="152" t="s">
        <v>742</v>
      </c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2296</v>
      </c>
      <c r="E13" s="145"/>
      <c r="F13" s="152"/>
      <c r="G13" s="152"/>
      <c r="H13" s="152"/>
      <c r="I13" s="152"/>
      <c r="J13" s="152" t="s">
        <v>742</v>
      </c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2297</v>
      </c>
      <c r="E14" s="145"/>
      <c r="F14" s="152"/>
      <c r="G14" s="152"/>
      <c r="H14" s="152"/>
      <c r="I14" s="152"/>
      <c r="J14" s="152"/>
      <c r="K14" s="152" t="s">
        <v>742</v>
      </c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2298</v>
      </c>
      <c r="E15" s="145"/>
      <c r="F15" s="152"/>
      <c r="G15" s="152"/>
      <c r="H15" s="152"/>
      <c r="I15" s="152"/>
      <c r="J15" s="152"/>
      <c r="K15" s="152"/>
      <c r="L15" s="152" t="s">
        <v>742</v>
      </c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2299</v>
      </c>
      <c r="E16" s="145"/>
      <c r="F16" s="152"/>
      <c r="G16" s="152"/>
      <c r="H16" s="152"/>
      <c r="I16" s="152"/>
      <c r="J16" s="152"/>
      <c r="K16" s="152"/>
      <c r="L16" s="152"/>
      <c r="M16" s="152" t="s">
        <v>742</v>
      </c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 t="s">
        <v>768</v>
      </c>
      <c r="C17" s="150"/>
      <c r="D17" s="151"/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2300</v>
      </c>
      <c r="E18" s="145"/>
      <c r="F18" s="152" t="s">
        <v>742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2301</v>
      </c>
      <c r="E19" s="145"/>
      <c r="F19" s="152"/>
      <c r="G19" s="152" t="s">
        <v>742</v>
      </c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2302</v>
      </c>
      <c r="E20" s="145"/>
      <c r="F20" s="152"/>
      <c r="G20" s="152"/>
      <c r="H20" s="152" t="s">
        <v>742</v>
      </c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2303</v>
      </c>
      <c r="E21" s="145"/>
      <c r="F21" s="152"/>
      <c r="G21" s="152"/>
      <c r="H21" s="152"/>
      <c r="I21" s="152" t="s">
        <v>742</v>
      </c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2304</v>
      </c>
      <c r="E22" s="145"/>
      <c r="F22" s="152"/>
      <c r="G22" s="152"/>
      <c r="H22" s="152"/>
      <c r="I22" s="152"/>
      <c r="J22" s="152" t="s">
        <v>742</v>
      </c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2305</v>
      </c>
      <c r="E23" s="145"/>
      <c r="F23" s="152"/>
      <c r="G23" s="152"/>
      <c r="H23" s="152"/>
      <c r="I23" s="152"/>
      <c r="J23" s="152"/>
      <c r="K23" s="152" t="s">
        <v>742</v>
      </c>
      <c r="L23" s="152"/>
      <c r="M23" s="152" t="s">
        <v>742</v>
      </c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2306</v>
      </c>
      <c r="E24" s="145"/>
      <c r="F24" s="152"/>
      <c r="G24" s="152"/>
      <c r="H24" s="152"/>
      <c r="I24" s="152"/>
      <c r="J24" s="152"/>
      <c r="K24" s="152"/>
      <c r="L24" s="152" t="s">
        <v>742</v>
      </c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54"/>
      <c r="C25" s="155"/>
      <c r="D25" s="156"/>
      <c r="E25" s="157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9"/>
    </row>
    <row r="26" ht="13.5" customHeight="1">
      <c r="A26" s="160" t="s">
        <v>802</v>
      </c>
      <c r="B26" s="161" t="s">
        <v>804</v>
      </c>
      <c r="C26" s="162"/>
      <c r="D26" s="163"/>
      <c r="E26" s="164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7"/>
    </row>
    <row r="27" ht="13.5" customHeight="1">
      <c r="A27" s="165"/>
      <c r="B27" s="166"/>
      <c r="C27" s="167"/>
      <c r="D27" s="168" t="s">
        <v>2307</v>
      </c>
      <c r="E27" s="169"/>
      <c r="F27" s="152" t="s">
        <v>742</v>
      </c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65"/>
      <c r="B28" s="166"/>
      <c r="C28" s="167"/>
      <c r="D28" s="168" t="s">
        <v>2309</v>
      </c>
      <c r="E28" s="169"/>
      <c r="F28" s="152"/>
      <c r="G28" s="152" t="s">
        <v>742</v>
      </c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66"/>
      <c r="C29" s="167"/>
      <c r="D29" s="168" t="s">
        <v>2310</v>
      </c>
      <c r="E29" s="169"/>
      <c r="F29" s="152"/>
      <c r="G29" s="152"/>
      <c r="H29" s="152" t="s">
        <v>742</v>
      </c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/>
      <c r="C30" s="167"/>
      <c r="D30" s="168" t="s">
        <v>2311</v>
      </c>
      <c r="E30" s="169"/>
      <c r="F30" s="152"/>
      <c r="G30" s="152"/>
      <c r="H30" s="152"/>
      <c r="I30" s="152" t="s">
        <v>742</v>
      </c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65"/>
      <c r="B31" s="166"/>
      <c r="C31" s="167"/>
      <c r="D31" s="168" t="s">
        <v>2312</v>
      </c>
      <c r="E31" s="169"/>
      <c r="F31" s="152"/>
      <c r="G31" s="152"/>
      <c r="H31" s="152"/>
      <c r="I31" s="152"/>
      <c r="J31" s="152" t="s">
        <v>742</v>
      </c>
      <c r="K31" s="152"/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/>
      <c r="C32" s="167"/>
      <c r="D32" s="168" t="s">
        <v>2313</v>
      </c>
      <c r="E32" s="169"/>
      <c r="F32" s="152"/>
      <c r="G32" s="152"/>
      <c r="H32" s="152"/>
      <c r="I32" s="152"/>
      <c r="J32" s="152"/>
      <c r="K32" s="152" t="s">
        <v>742</v>
      </c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 t="s">
        <v>825</v>
      </c>
      <c r="C33" s="167"/>
      <c r="D33" s="168"/>
      <c r="E33" s="169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2314</v>
      </c>
      <c r="E34" s="169"/>
      <c r="F34" s="152"/>
      <c r="G34" s="152"/>
      <c r="H34" s="152"/>
      <c r="I34" s="152"/>
      <c r="J34" s="152"/>
      <c r="K34" s="152"/>
      <c r="L34" s="152" t="s">
        <v>742</v>
      </c>
      <c r="M34" s="152" t="s">
        <v>742</v>
      </c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 t="s">
        <v>854</v>
      </c>
      <c r="C35" s="167"/>
      <c r="D35" s="168"/>
      <c r="E35" s="169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70"/>
      <c r="C36" s="171"/>
      <c r="D36" s="172"/>
      <c r="E36" s="173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5"/>
    </row>
    <row r="37" ht="13.5" customHeight="1">
      <c r="A37" s="160" t="s">
        <v>865</v>
      </c>
      <c r="B37" s="176" t="s">
        <v>866</v>
      </c>
      <c r="C37" s="177"/>
      <c r="D37" s="178"/>
      <c r="E37" s="179"/>
      <c r="F37" s="180" t="s">
        <v>54</v>
      </c>
      <c r="G37" s="180" t="s">
        <v>54</v>
      </c>
      <c r="H37" s="180" t="s">
        <v>54</v>
      </c>
      <c r="I37" s="180" t="s">
        <v>57</v>
      </c>
      <c r="J37" s="180" t="s">
        <v>54</v>
      </c>
      <c r="K37" s="180" t="s">
        <v>54</v>
      </c>
      <c r="L37" s="180" t="s">
        <v>55</v>
      </c>
      <c r="M37" s="180" t="s">
        <v>55</v>
      </c>
      <c r="N37" s="180"/>
      <c r="O37" s="180"/>
      <c r="P37" s="180"/>
      <c r="Q37" s="180"/>
      <c r="R37" s="180"/>
      <c r="S37" s="180"/>
      <c r="T37" s="181"/>
    </row>
    <row r="38" ht="13.5" customHeight="1">
      <c r="A38" s="165"/>
      <c r="B38" s="182" t="s">
        <v>867</v>
      </c>
      <c r="C38" s="27"/>
      <c r="D38" s="25"/>
      <c r="E38" s="183"/>
      <c r="F38" s="184" t="s">
        <v>868</v>
      </c>
      <c r="G38" s="184" t="s">
        <v>868</v>
      </c>
      <c r="H38" s="184" t="s">
        <v>868</v>
      </c>
      <c r="I38" s="184" t="s">
        <v>868</v>
      </c>
      <c r="J38" s="184" t="s">
        <v>868</v>
      </c>
      <c r="K38" s="184" t="s">
        <v>868</v>
      </c>
      <c r="L38" s="184" t="s">
        <v>868</v>
      </c>
      <c r="M38" s="184" t="s">
        <v>868</v>
      </c>
      <c r="N38" s="184"/>
      <c r="O38" s="184"/>
      <c r="P38" s="184"/>
      <c r="Q38" s="184"/>
      <c r="R38" s="184"/>
      <c r="S38" s="184"/>
      <c r="T38" s="185"/>
    </row>
    <row r="39" ht="99.75" customHeight="1">
      <c r="A39" s="165"/>
      <c r="B39" s="186" t="s">
        <v>869</v>
      </c>
      <c r="C39" s="27"/>
      <c r="D39" s="25"/>
      <c r="E39" s="169"/>
      <c r="F39" s="187">
        <v>46293.0</v>
      </c>
      <c r="G39" s="187">
        <v>46293.0</v>
      </c>
      <c r="H39" s="187">
        <v>46293.0</v>
      </c>
      <c r="I39" s="187">
        <v>46293.0</v>
      </c>
      <c r="J39" s="187">
        <v>46293.0</v>
      </c>
      <c r="K39" s="187">
        <v>46293.0</v>
      </c>
      <c r="L39" s="187">
        <v>46293.0</v>
      </c>
      <c r="M39" s="187">
        <v>46293.0</v>
      </c>
      <c r="N39" s="187"/>
      <c r="O39" s="187"/>
      <c r="P39" s="187"/>
      <c r="Q39" s="187"/>
      <c r="R39" s="187"/>
      <c r="S39" s="187"/>
      <c r="T39" s="188"/>
    </row>
    <row r="40" ht="72.75" customHeight="1">
      <c r="A40" s="190"/>
      <c r="B40" s="191" t="s">
        <v>870</v>
      </c>
      <c r="C40" s="192"/>
      <c r="D40" s="193"/>
      <c r="E40" s="194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6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7:D37"/>
    <mergeCell ref="B38:D38"/>
    <mergeCell ref="B39:D39"/>
    <mergeCell ref="B40:D40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469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433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84.0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2308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COUNTIF(F47:T47,"P")</f>
        <v>13</v>
      </c>
      <c r="B7" s="130"/>
      <c r="C7" s="131">
        <f>COUNTIF(F47:T47,"F")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COUNTIF(F46:T46,"N")</f>
        <v>5</v>
      </c>
      <c r="M7" s="132">
        <f>COUNTIF(F46:T46,"A")</f>
        <v>7</v>
      </c>
      <c r="N7" s="132">
        <f>COUNTIF(F46:T46,"B")</f>
        <v>1</v>
      </c>
      <c r="O7" s="133">
        <f>COUNTA(F9:T9)</f>
        <v>13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991</v>
      </c>
      <c r="E11" s="145"/>
      <c r="F11" s="152" t="s">
        <v>742</v>
      </c>
      <c r="G11" s="152" t="s">
        <v>742</v>
      </c>
      <c r="H11" s="152" t="s">
        <v>742</v>
      </c>
      <c r="I11" s="152" t="s">
        <v>742</v>
      </c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2316</v>
      </c>
      <c r="E12" s="145"/>
      <c r="F12" s="152"/>
      <c r="G12" s="152"/>
      <c r="H12" s="152"/>
      <c r="I12" s="152"/>
      <c r="J12" s="152" t="s">
        <v>742</v>
      </c>
      <c r="K12" s="152"/>
      <c r="L12" s="152"/>
      <c r="M12" s="152"/>
      <c r="N12" s="152"/>
      <c r="O12" s="152" t="s">
        <v>742</v>
      </c>
      <c r="P12" s="152"/>
      <c r="Q12" s="152" t="s">
        <v>742</v>
      </c>
      <c r="R12" s="152"/>
      <c r="S12" s="152"/>
      <c r="T12" s="153"/>
    </row>
    <row r="13" ht="13.5" customHeight="1">
      <c r="A13" s="148"/>
      <c r="B13" s="149"/>
      <c r="C13" s="150"/>
      <c r="D13" s="151" t="s">
        <v>2261</v>
      </c>
      <c r="E13" s="145"/>
      <c r="F13" s="152"/>
      <c r="G13" s="152"/>
      <c r="H13" s="152"/>
      <c r="I13" s="152"/>
      <c r="J13" s="152"/>
      <c r="K13" s="152" t="s">
        <v>742</v>
      </c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2317</v>
      </c>
      <c r="E14" s="145"/>
      <c r="F14" s="152"/>
      <c r="G14" s="152"/>
      <c r="H14" s="152"/>
      <c r="I14" s="152"/>
      <c r="J14" s="152"/>
      <c r="K14" s="152"/>
      <c r="L14" s="152" t="s">
        <v>742</v>
      </c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2318</v>
      </c>
      <c r="E15" s="145"/>
      <c r="F15" s="152"/>
      <c r="G15" s="152"/>
      <c r="H15" s="152"/>
      <c r="I15" s="152"/>
      <c r="J15" s="152"/>
      <c r="K15" s="152"/>
      <c r="L15" s="152"/>
      <c r="M15" s="152" t="s">
        <v>742</v>
      </c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2319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 t="s">
        <v>742</v>
      </c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2320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 t="s">
        <v>742</v>
      </c>
      <c r="Q17" s="152"/>
      <c r="R17" s="152" t="s">
        <v>742</v>
      </c>
      <c r="S17" s="152"/>
      <c r="T17" s="153"/>
    </row>
    <row r="18" ht="13.5" customHeight="1">
      <c r="A18" s="148"/>
      <c r="B18" s="149" t="s">
        <v>768</v>
      </c>
      <c r="C18" s="150"/>
      <c r="D18" s="151"/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2322</v>
      </c>
      <c r="E19" s="145"/>
      <c r="F19" s="152" t="s">
        <v>742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2324</v>
      </c>
      <c r="E20" s="145"/>
      <c r="F20" s="152"/>
      <c r="G20" s="152" t="s">
        <v>742</v>
      </c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2326</v>
      </c>
      <c r="E21" s="145"/>
      <c r="F21" s="152"/>
      <c r="G21" s="152"/>
      <c r="H21" s="152" t="s">
        <v>742</v>
      </c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2328</v>
      </c>
      <c r="E22" s="145"/>
      <c r="F22" s="152"/>
      <c r="G22" s="152"/>
      <c r="H22" s="152"/>
      <c r="I22" s="152" t="s">
        <v>742</v>
      </c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2330</v>
      </c>
      <c r="E23" s="145"/>
      <c r="F23" s="152"/>
      <c r="G23" s="152"/>
      <c r="H23" s="152"/>
      <c r="I23" s="152"/>
      <c r="J23" s="152" t="s">
        <v>742</v>
      </c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2331</v>
      </c>
      <c r="E24" s="145"/>
      <c r="F24" s="152"/>
      <c r="G24" s="152"/>
      <c r="H24" s="152"/>
      <c r="I24" s="152"/>
      <c r="J24" s="152"/>
      <c r="K24" s="152" t="s">
        <v>742</v>
      </c>
      <c r="L24" s="152" t="s">
        <v>742</v>
      </c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2333</v>
      </c>
      <c r="E25" s="145"/>
      <c r="F25" s="152"/>
      <c r="G25" s="152"/>
      <c r="H25" s="152"/>
      <c r="I25" s="152"/>
      <c r="J25" s="152"/>
      <c r="K25" s="152"/>
      <c r="L25" s="152"/>
      <c r="M25" s="152" t="s">
        <v>742</v>
      </c>
      <c r="N25" s="152"/>
      <c r="O25" s="152"/>
      <c r="P25" s="152" t="s">
        <v>742</v>
      </c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2335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 t="s">
        <v>742</v>
      </c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2336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 t="s">
        <v>742</v>
      </c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2338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 t="s">
        <v>742</v>
      </c>
      <c r="R28" s="152" t="s">
        <v>742</v>
      </c>
      <c r="S28" s="152"/>
      <c r="T28" s="153"/>
    </row>
    <row r="29" ht="13.5" customHeight="1">
      <c r="A29" s="148"/>
      <c r="B29" s="154"/>
      <c r="C29" s="155"/>
      <c r="D29" s="156"/>
      <c r="E29" s="157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9"/>
    </row>
    <row r="30" ht="13.5" customHeight="1">
      <c r="A30" s="160" t="s">
        <v>802</v>
      </c>
      <c r="B30" s="161" t="s">
        <v>804</v>
      </c>
      <c r="C30" s="162"/>
      <c r="D30" s="163"/>
      <c r="E30" s="164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7"/>
    </row>
    <row r="31" ht="13.5" customHeight="1">
      <c r="A31" s="165"/>
      <c r="B31" s="166"/>
      <c r="C31" s="167"/>
      <c r="D31" s="168" t="s">
        <v>2342</v>
      </c>
      <c r="E31" s="169"/>
      <c r="F31" s="152" t="s">
        <v>742</v>
      </c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/>
      <c r="C32" s="167"/>
      <c r="D32" s="168" t="s">
        <v>2343</v>
      </c>
      <c r="E32" s="169"/>
      <c r="F32" s="152"/>
      <c r="G32" s="152" t="s">
        <v>742</v>
      </c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2345</v>
      </c>
      <c r="E33" s="169"/>
      <c r="F33" s="152"/>
      <c r="G33" s="152"/>
      <c r="H33" s="152"/>
      <c r="I33" s="152"/>
      <c r="J33" s="152" t="s">
        <v>742</v>
      </c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2348</v>
      </c>
      <c r="E34" s="169"/>
      <c r="F34" s="152"/>
      <c r="G34" s="152"/>
      <c r="H34" s="152"/>
      <c r="I34" s="152"/>
      <c r="J34" s="152"/>
      <c r="K34" s="152"/>
      <c r="L34" s="152"/>
      <c r="M34" s="152" t="s">
        <v>742</v>
      </c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2349</v>
      </c>
      <c r="E35" s="169"/>
      <c r="F35" s="152"/>
      <c r="G35" s="152"/>
      <c r="H35" s="152"/>
      <c r="I35" s="152"/>
      <c r="J35" s="152"/>
      <c r="K35" s="152"/>
      <c r="L35" s="152"/>
      <c r="M35" s="152"/>
      <c r="N35" s="152" t="s">
        <v>742</v>
      </c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2351</v>
      </c>
      <c r="E36" s="169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 t="s">
        <v>742</v>
      </c>
      <c r="R36" s="152"/>
      <c r="S36" s="152"/>
      <c r="T36" s="153"/>
    </row>
    <row r="37" ht="13.5" customHeight="1">
      <c r="A37" s="165"/>
      <c r="B37" s="166" t="s">
        <v>825</v>
      </c>
      <c r="C37" s="167"/>
      <c r="D37" s="168"/>
      <c r="E37" s="169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2356</v>
      </c>
      <c r="E38" s="169"/>
      <c r="F38" s="152"/>
      <c r="G38" s="152"/>
      <c r="H38" s="152" t="s">
        <v>742</v>
      </c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2357</v>
      </c>
      <c r="E39" s="169"/>
      <c r="F39" s="152"/>
      <c r="G39" s="152"/>
      <c r="H39" s="152"/>
      <c r="I39" s="152" t="s">
        <v>742</v>
      </c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2359</v>
      </c>
      <c r="E40" s="169"/>
      <c r="F40" s="152"/>
      <c r="G40" s="152"/>
      <c r="H40" s="152"/>
      <c r="I40" s="152"/>
      <c r="J40" s="152"/>
      <c r="K40" s="152" t="s">
        <v>742</v>
      </c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2360</v>
      </c>
      <c r="E41" s="169"/>
      <c r="F41" s="152"/>
      <c r="G41" s="152"/>
      <c r="H41" s="152"/>
      <c r="I41" s="152"/>
      <c r="J41" s="152"/>
      <c r="K41" s="152"/>
      <c r="L41" s="152" t="s">
        <v>742</v>
      </c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2363</v>
      </c>
      <c r="E42" s="169"/>
      <c r="F42" s="152"/>
      <c r="G42" s="152"/>
      <c r="H42" s="152"/>
      <c r="I42" s="152"/>
      <c r="J42" s="152"/>
      <c r="K42" s="152"/>
      <c r="L42" s="152"/>
      <c r="M42" s="152"/>
      <c r="N42" s="152"/>
      <c r="O42" s="152" t="s">
        <v>742</v>
      </c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2365</v>
      </c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 t="s">
        <v>742</v>
      </c>
      <c r="Q43" s="152"/>
      <c r="R43" s="152" t="s">
        <v>742</v>
      </c>
      <c r="S43" s="152"/>
      <c r="T43" s="153"/>
    </row>
    <row r="44" ht="13.5" customHeight="1">
      <c r="A44" s="165"/>
      <c r="B44" s="166" t="s">
        <v>854</v>
      </c>
      <c r="C44" s="167"/>
      <c r="D44" s="168"/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3"/>
    </row>
    <row r="45" ht="13.5" customHeight="1">
      <c r="A45" s="165"/>
      <c r="B45" s="170"/>
      <c r="C45" s="171"/>
      <c r="D45" s="172"/>
      <c r="E45" s="173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5"/>
    </row>
    <row r="46" ht="13.5" customHeight="1">
      <c r="A46" s="160" t="s">
        <v>865</v>
      </c>
      <c r="B46" s="176" t="s">
        <v>866</v>
      </c>
      <c r="C46" s="177"/>
      <c r="D46" s="178"/>
      <c r="E46" s="179"/>
      <c r="F46" s="180" t="s">
        <v>54</v>
      </c>
      <c r="G46" s="180" t="s">
        <v>57</v>
      </c>
      <c r="H46" s="180" t="s">
        <v>55</v>
      </c>
      <c r="I46" s="180" t="s">
        <v>55</v>
      </c>
      <c r="J46" s="180" t="s">
        <v>54</v>
      </c>
      <c r="K46" s="180" t="s">
        <v>55</v>
      </c>
      <c r="L46" s="180" t="s">
        <v>55</v>
      </c>
      <c r="M46" s="180" t="s">
        <v>54</v>
      </c>
      <c r="N46" s="180" t="s">
        <v>54</v>
      </c>
      <c r="O46" s="180" t="s">
        <v>55</v>
      </c>
      <c r="P46" s="180" t="s">
        <v>55</v>
      </c>
      <c r="Q46" s="180" t="s">
        <v>54</v>
      </c>
      <c r="R46" s="180" t="s">
        <v>55</v>
      </c>
      <c r="S46" s="180"/>
      <c r="T46" s="181"/>
    </row>
    <row r="47" ht="13.5" customHeight="1">
      <c r="A47" s="165"/>
      <c r="B47" s="182" t="s">
        <v>867</v>
      </c>
      <c r="C47" s="27"/>
      <c r="D47" s="25"/>
      <c r="E47" s="183"/>
      <c r="F47" s="184" t="s">
        <v>868</v>
      </c>
      <c r="G47" s="184" t="s">
        <v>868</v>
      </c>
      <c r="H47" s="184" t="s">
        <v>868</v>
      </c>
      <c r="I47" s="184" t="s">
        <v>868</v>
      </c>
      <c r="J47" s="184" t="s">
        <v>868</v>
      </c>
      <c r="K47" s="184" t="s">
        <v>868</v>
      </c>
      <c r="L47" s="184" t="s">
        <v>868</v>
      </c>
      <c r="M47" s="184" t="s">
        <v>868</v>
      </c>
      <c r="N47" s="184" t="s">
        <v>868</v>
      </c>
      <c r="O47" s="184" t="s">
        <v>868</v>
      </c>
      <c r="P47" s="184" t="s">
        <v>868</v>
      </c>
      <c r="Q47" s="184" t="s">
        <v>868</v>
      </c>
      <c r="R47" s="184" t="s">
        <v>868</v>
      </c>
      <c r="S47" s="184"/>
      <c r="T47" s="185"/>
    </row>
    <row r="48" ht="99.75" customHeight="1">
      <c r="A48" s="165"/>
      <c r="B48" s="186" t="s">
        <v>869</v>
      </c>
      <c r="C48" s="27"/>
      <c r="D48" s="25"/>
      <c r="E48" s="169"/>
      <c r="F48" s="187">
        <v>46293.0</v>
      </c>
      <c r="G48" s="187">
        <v>46293.0</v>
      </c>
      <c r="H48" s="187">
        <v>46293.0</v>
      </c>
      <c r="I48" s="187">
        <v>46293.0</v>
      </c>
      <c r="J48" s="187">
        <v>46293.0</v>
      </c>
      <c r="K48" s="187">
        <v>46293.0</v>
      </c>
      <c r="L48" s="187">
        <v>46293.0</v>
      </c>
      <c r="M48" s="187">
        <v>46293.0</v>
      </c>
      <c r="N48" s="187">
        <v>46293.0</v>
      </c>
      <c r="O48" s="187">
        <v>46293.0</v>
      </c>
      <c r="P48" s="187">
        <v>46293.0</v>
      </c>
      <c r="Q48" s="187">
        <v>46293.0</v>
      </c>
      <c r="R48" s="187">
        <v>46293.0</v>
      </c>
      <c r="S48" s="187"/>
      <c r="T48" s="188"/>
    </row>
    <row r="49" ht="72.75" customHeight="1">
      <c r="A49" s="190"/>
      <c r="B49" s="191" t="s">
        <v>870</v>
      </c>
      <c r="C49" s="192"/>
      <c r="D49" s="193"/>
      <c r="E49" s="194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6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6:D46"/>
    <mergeCell ref="B47:D47"/>
    <mergeCell ref="B48:D48"/>
    <mergeCell ref="B49:D49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478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443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178.0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2315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COUNTIF(F48:T48,"P")</f>
        <v>12</v>
      </c>
      <c r="B7" s="130"/>
      <c r="C7" s="131">
        <f>COUNTIF(F48:T48,"F")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COUNTIF(F47:T47,"N")</f>
        <v>7</v>
      </c>
      <c r="M7" s="132">
        <f>COUNTIF(F47:T47,"A")</f>
        <v>5</v>
      </c>
      <c r="N7" s="132">
        <f>COUNTIF(F47:T47,"B")</f>
        <v>0</v>
      </c>
      <c r="O7" s="133">
        <f>COUNTA(F9:T9)</f>
        <v>12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2321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2325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2327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2329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2317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2332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2334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2337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2339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2340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 t="s">
        <v>742</v>
      </c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2341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 t="s">
        <v>742</v>
      </c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2261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 t="s">
        <v>742</v>
      </c>
      <c r="R22" s="152"/>
      <c r="S22" s="152"/>
      <c r="T22" s="153"/>
    </row>
    <row r="23" ht="13.5" customHeight="1">
      <c r="A23" s="148"/>
      <c r="B23" s="149" t="s">
        <v>768</v>
      </c>
      <c r="C23" s="150"/>
      <c r="D23" s="151"/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2344</v>
      </c>
      <c r="E24" s="145"/>
      <c r="F24" s="152" t="s">
        <v>742</v>
      </c>
      <c r="G24" s="152" t="s">
        <v>742</v>
      </c>
      <c r="H24" s="152" t="s">
        <v>742</v>
      </c>
      <c r="I24" s="152" t="s">
        <v>742</v>
      </c>
      <c r="J24" s="152" t="s">
        <v>742</v>
      </c>
      <c r="K24" s="152" t="s">
        <v>742</v>
      </c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2346</v>
      </c>
      <c r="E25" s="145"/>
      <c r="F25" s="152"/>
      <c r="G25" s="152"/>
      <c r="H25" s="152"/>
      <c r="I25" s="152"/>
      <c r="J25" s="152"/>
      <c r="K25" s="152"/>
      <c r="L25" s="152" t="s">
        <v>742</v>
      </c>
      <c r="M25" s="152" t="s">
        <v>742</v>
      </c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2347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 t="s">
        <v>742</v>
      </c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2350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 t="s">
        <v>742</v>
      </c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2352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 t="s">
        <v>742</v>
      </c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2354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 t="s">
        <v>742</v>
      </c>
      <c r="R29" s="152"/>
      <c r="S29" s="152"/>
      <c r="T29" s="153"/>
    </row>
    <row r="30" ht="13.5" customHeight="1">
      <c r="A30" s="148"/>
      <c r="B30" s="154"/>
      <c r="C30" s="155"/>
      <c r="D30" s="156"/>
      <c r="E30" s="157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9"/>
    </row>
    <row r="31" ht="13.5" customHeight="1">
      <c r="A31" s="160" t="s">
        <v>802</v>
      </c>
      <c r="B31" s="161" t="s">
        <v>804</v>
      </c>
      <c r="C31" s="162"/>
      <c r="D31" s="163"/>
      <c r="E31" s="164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7"/>
    </row>
    <row r="32" ht="13.5" customHeight="1">
      <c r="A32" s="165"/>
      <c r="B32" s="166"/>
      <c r="C32" s="167"/>
      <c r="D32" s="168" t="s">
        <v>2361</v>
      </c>
      <c r="E32" s="169"/>
      <c r="F32" s="152" t="s">
        <v>742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2366</v>
      </c>
      <c r="E33" s="169"/>
      <c r="F33" s="152"/>
      <c r="G33" s="152" t="s">
        <v>742</v>
      </c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2368</v>
      </c>
      <c r="E34" s="169"/>
      <c r="F34" s="152"/>
      <c r="G34" s="152"/>
      <c r="H34" s="152"/>
      <c r="I34" s="152"/>
      <c r="J34" s="152"/>
      <c r="K34" s="152" t="s">
        <v>742</v>
      </c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2370</v>
      </c>
      <c r="E35" s="169"/>
      <c r="F35" s="152"/>
      <c r="G35" s="152"/>
      <c r="H35" s="152"/>
      <c r="I35" s="152"/>
      <c r="J35" s="152"/>
      <c r="K35" s="152"/>
      <c r="L35" s="152" t="s">
        <v>742</v>
      </c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2371</v>
      </c>
      <c r="E36" s="169"/>
      <c r="F36" s="152"/>
      <c r="G36" s="152"/>
      <c r="H36" s="152"/>
      <c r="I36" s="152"/>
      <c r="J36" s="152"/>
      <c r="K36" s="152"/>
      <c r="L36" s="152"/>
      <c r="M36" s="152"/>
      <c r="N36" s="152" t="s">
        <v>742</v>
      </c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2373</v>
      </c>
      <c r="E37" s="169"/>
      <c r="F37" s="152"/>
      <c r="G37" s="152"/>
      <c r="H37" s="152"/>
      <c r="I37" s="152"/>
      <c r="J37" s="152"/>
      <c r="K37" s="152"/>
      <c r="L37" s="152"/>
      <c r="M37" s="152"/>
      <c r="N37" s="152"/>
      <c r="O37" s="152" t="s">
        <v>742</v>
      </c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2374</v>
      </c>
      <c r="E38" s="169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 t="s">
        <v>742</v>
      </c>
      <c r="Q38" s="152"/>
      <c r="R38" s="152"/>
      <c r="S38" s="152"/>
      <c r="T38" s="153"/>
    </row>
    <row r="39" ht="13.5" customHeight="1">
      <c r="A39" s="165"/>
      <c r="B39" s="166" t="s">
        <v>825</v>
      </c>
      <c r="C39" s="167"/>
      <c r="D39" s="168"/>
      <c r="E39" s="169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2376</v>
      </c>
      <c r="E40" s="169"/>
      <c r="F40" s="152"/>
      <c r="G40" s="152"/>
      <c r="H40" s="152" t="s">
        <v>742</v>
      </c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2378</v>
      </c>
      <c r="E41" s="169"/>
      <c r="F41" s="152"/>
      <c r="G41" s="152"/>
      <c r="H41" s="152"/>
      <c r="I41" s="152" t="s">
        <v>742</v>
      </c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2360</v>
      </c>
      <c r="E42" s="169"/>
      <c r="F42" s="152"/>
      <c r="G42" s="152"/>
      <c r="H42" s="152"/>
      <c r="I42" s="152"/>
      <c r="J42" s="152" t="s">
        <v>742</v>
      </c>
      <c r="K42" s="152"/>
      <c r="L42" s="152"/>
      <c r="M42" s="152"/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2379</v>
      </c>
      <c r="E43" s="169"/>
      <c r="F43" s="152"/>
      <c r="G43" s="152"/>
      <c r="H43" s="152"/>
      <c r="I43" s="152"/>
      <c r="J43" s="152"/>
      <c r="K43" s="152"/>
      <c r="L43" s="152"/>
      <c r="M43" s="152" t="s">
        <v>742</v>
      </c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2359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 t="s">
        <v>742</v>
      </c>
      <c r="R44" s="152"/>
      <c r="S44" s="152"/>
      <c r="T44" s="153"/>
    </row>
    <row r="45" ht="13.5" customHeight="1">
      <c r="A45" s="165"/>
      <c r="B45" s="166" t="s">
        <v>854</v>
      </c>
      <c r="C45" s="167"/>
      <c r="D45" s="168"/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3"/>
    </row>
    <row r="46" ht="13.5" customHeight="1">
      <c r="A46" s="165"/>
      <c r="B46" s="170"/>
      <c r="C46" s="171"/>
      <c r="D46" s="172"/>
      <c r="E46" s="173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5"/>
    </row>
    <row r="47" ht="13.5" customHeight="1">
      <c r="A47" s="160" t="s">
        <v>865</v>
      </c>
      <c r="B47" s="176" t="s">
        <v>866</v>
      </c>
      <c r="C47" s="177"/>
      <c r="D47" s="178"/>
      <c r="E47" s="179"/>
      <c r="F47" s="180" t="s">
        <v>54</v>
      </c>
      <c r="G47" s="180" t="s">
        <v>54</v>
      </c>
      <c r="H47" s="180" t="s">
        <v>55</v>
      </c>
      <c r="I47" s="180" t="s">
        <v>55</v>
      </c>
      <c r="J47" s="180" t="s">
        <v>55</v>
      </c>
      <c r="K47" s="180" t="s">
        <v>54</v>
      </c>
      <c r="L47" s="180" t="s">
        <v>54</v>
      </c>
      <c r="M47" s="180" t="s">
        <v>55</v>
      </c>
      <c r="N47" s="180" t="s">
        <v>54</v>
      </c>
      <c r="O47" s="180" t="s">
        <v>54</v>
      </c>
      <c r="P47" s="180" t="s">
        <v>54</v>
      </c>
      <c r="Q47" s="180" t="s">
        <v>55</v>
      </c>
      <c r="R47" s="180"/>
      <c r="S47" s="180"/>
      <c r="T47" s="181"/>
    </row>
    <row r="48" ht="13.5" customHeight="1">
      <c r="A48" s="165"/>
      <c r="B48" s="182" t="s">
        <v>867</v>
      </c>
      <c r="C48" s="27"/>
      <c r="D48" s="25"/>
      <c r="E48" s="183"/>
      <c r="F48" s="184" t="s">
        <v>868</v>
      </c>
      <c r="G48" s="184" t="s">
        <v>868</v>
      </c>
      <c r="H48" s="184" t="s">
        <v>868</v>
      </c>
      <c r="I48" s="184" t="s">
        <v>868</v>
      </c>
      <c r="J48" s="184" t="s">
        <v>868</v>
      </c>
      <c r="K48" s="184" t="s">
        <v>868</v>
      </c>
      <c r="L48" s="184" t="s">
        <v>868</v>
      </c>
      <c r="M48" s="184" t="s">
        <v>868</v>
      </c>
      <c r="N48" s="184" t="s">
        <v>868</v>
      </c>
      <c r="O48" s="184" t="s">
        <v>868</v>
      </c>
      <c r="P48" s="184" t="s">
        <v>868</v>
      </c>
      <c r="Q48" s="184" t="s">
        <v>868</v>
      </c>
      <c r="R48" s="184"/>
      <c r="S48" s="184"/>
      <c r="T48" s="185"/>
    </row>
    <row r="49" ht="99.75" customHeight="1">
      <c r="A49" s="165"/>
      <c r="B49" s="186" t="s">
        <v>869</v>
      </c>
      <c r="C49" s="27"/>
      <c r="D49" s="25"/>
      <c r="E49" s="169"/>
      <c r="F49" s="187">
        <v>46293.0</v>
      </c>
      <c r="G49" s="187">
        <v>46293.0</v>
      </c>
      <c r="H49" s="187">
        <v>46293.0</v>
      </c>
      <c r="I49" s="187">
        <v>46293.0</v>
      </c>
      <c r="J49" s="187">
        <v>46293.0</v>
      </c>
      <c r="K49" s="187">
        <v>46293.0</v>
      </c>
      <c r="L49" s="187">
        <v>46293.0</v>
      </c>
      <c r="M49" s="187">
        <v>46293.0</v>
      </c>
      <c r="N49" s="187">
        <v>46293.0</v>
      </c>
      <c r="O49" s="187">
        <v>46293.0</v>
      </c>
      <c r="P49" s="187">
        <v>46293.0</v>
      </c>
      <c r="Q49" s="187">
        <v>46293.0</v>
      </c>
      <c r="R49" s="187"/>
      <c r="S49" s="187"/>
      <c r="T49" s="188"/>
    </row>
    <row r="50" ht="72.75" customHeight="1">
      <c r="A50" s="190"/>
      <c r="B50" s="191" t="s">
        <v>870</v>
      </c>
      <c r="C50" s="192"/>
      <c r="D50" s="193"/>
      <c r="E50" s="194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6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7:D47"/>
    <mergeCell ref="B48:D48"/>
    <mergeCell ref="B49:D49"/>
    <mergeCell ref="B50:D50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489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452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97.0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2323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COUNTIF(F41:T41,"P")</f>
        <v>9</v>
      </c>
      <c r="B7" s="130"/>
      <c r="C7" s="131">
        <f>COUNTIF(F41:T41,"F")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COUNTIF(F40:T40,"N")</f>
        <v>5</v>
      </c>
      <c r="M7" s="132">
        <f>COUNTIF(F40:T40,"A")</f>
        <v>4</v>
      </c>
      <c r="N7" s="132">
        <f>COUNTIF(F40:T40,"B")</f>
        <v>0</v>
      </c>
      <c r="O7" s="133">
        <f>COUNTA(F9:T9)</f>
        <v>9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2353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2355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2257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2358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2261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2362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2364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2367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2369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3"/>
    </row>
    <row r="20" ht="13.5" customHeight="1">
      <c r="A20" s="148"/>
      <c r="B20" s="149" t="s">
        <v>768</v>
      </c>
      <c r="C20" s="150"/>
      <c r="D20" s="151"/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2372</v>
      </c>
      <c r="E21" s="145"/>
      <c r="F21" s="152" t="s">
        <v>742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2275</v>
      </c>
      <c r="E22" s="145"/>
      <c r="F22" s="152"/>
      <c r="G22" s="152" t="s">
        <v>742</v>
      </c>
      <c r="H22" s="152" t="s">
        <v>742</v>
      </c>
      <c r="I22" s="152"/>
      <c r="J22" s="152" t="s">
        <v>742</v>
      </c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2278</v>
      </c>
      <c r="E23" s="145"/>
      <c r="F23" s="152"/>
      <c r="G23" s="152"/>
      <c r="H23" s="152"/>
      <c r="I23" s="152" t="s">
        <v>742</v>
      </c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2375</v>
      </c>
      <c r="E24" s="145"/>
      <c r="F24" s="152"/>
      <c r="G24" s="152"/>
      <c r="H24" s="152"/>
      <c r="I24" s="152"/>
      <c r="J24" s="152"/>
      <c r="K24" s="152" t="s">
        <v>742</v>
      </c>
      <c r="L24" s="152" t="s">
        <v>742</v>
      </c>
      <c r="M24" s="152"/>
      <c r="N24" s="152" t="s">
        <v>742</v>
      </c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2377</v>
      </c>
      <c r="E25" s="145"/>
      <c r="F25" s="152"/>
      <c r="G25" s="152"/>
      <c r="H25" s="152"/>
      <c r="I25" s="152"/>
      <c r="J25" s="152"/>
      <c r="K25" s="152"/>
      <c r="L25" s="152"/>
      <c r="M25" s="152" t="s">
        <v>742</v>
      </c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54"/>
      <c r="C26" s="155"/>
      <c r="D26" s="156"/>
      <c r="E26" s="157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9"/>
    </row>
    <row r="27" ht="13.5" customHeight="1">
      <c r="A27" s="160" t="s">
        <v>802</v>
      </c>
      <c r="B27" s="161" t="s">
        <v>804</v>
      </c>
      <c r="C27" s="162"/>
      <c r="D27" s="163"/>
      <c r="E27" s="164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7"/>
    </row>
    <row r="28" ht="13.5" customHeight="1">
      <c r="A28" s="165"/>
      <c r="B28" s="166"/>
      <c r="C28" s="167"/>
      <c r="D28" s="168" t="s">
        <v>2380</v>
      </c>
      <c r="E28" s="169"/>
      <c r="F28" s="152" t="s">
        <v>742</v>
      </c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66"/>
      <c r="C29" s="167"/>
      <c r="D29" s="168" t="s">
        <v>2381</v>
      </c>
      <c r="E29" s="169"/>
      <c r="F29" s="152"/>
      <c r="G29" s="152" t="s">
        <v>742</v>
      </c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/>
      <c r="C30" s="167"/>
      <c r="D30" s="168" t="s">
        <v>2382</v>
      </c>
      <c r="E30" s="169"/>
      <c r="F30" s="152"/>
      <c r="G30" s="152"/>
      <c r="H30" s="152" t="s">
        <v>742</v>
      </c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65"/>
      <c r="B31" s="166"/>
      <c r="C31" s="167"/>
      <c r="D31" s="168" t="s">
        <v>2383</v>
      </c>
      <c r="E31" s="169"/>
      <c r="F31" s="152"/>
      <c r="G31" s="152"/>
      <c r="H31" s="152"/>
      <c r="I31" s="152"/>
      <c r="J31" s="152"/>
      <c r="K31" s="152" t="s">
        <v>742</v>
      </c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/>
      <c r="C32" s="167"/>
      <c r="D32" s="168" t="s">
        <v>2384</v>
      </c>
      <c r="E32" s="169"/>
      <c r="F32" s="152"/>
      <c r="G32" s="152"/>
      <c r="H32" s="152"/>
      <c r="I32" s="152"/>
      <c r="J32" s="152"/>
      <c r="K32" s="152"/>
      <c r="L32" s="152"/>
      <c r="M32" s="152" t="s">
        <v>742</v>
      </c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 t="s">
        <v>825</v>
      </c>
      <c r="C33" s="167"/>
      <c r="D33" s="168"/>
      <c r="E33" s="169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2385</v>
      </c>
      <c r="E34" s="169"/>
      <c r="F34" s="152"/>
      <c r="G34" s="152"/>
      <c r="H34" s="152"/>
      <c r="I34" s="152" t="s">
        <v>742</v>
      </c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2359</v>
      </c>
      <c r="E35" s="169"/>
      <c r="F35" s="152"/>
      <c r="G35" s="152"/>
      <c r="H35" s="152"/>
      <c r="I35" s="152"/>
      <c r="J35" s="152" t="s">
        <v>742</v>
      </c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2386</v>
      </c>
      <c r="E36" s="169"/>
      <c r="F36" s="152"/>
      <c r="G36" s="152"/>
      <c r="H36" s="152"/>
      <c r="I36" s="152"/>
      <c r="J36" s="152"/>
      <c r="K36" s="152"/>
      <c r="L36" s="152" t="s">
        <v>742</v>
      </c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2365</v>
      </c>
      <c r="E37" s="169"/>
      <c r="F37" s="152"/>
      <c r="G37" s="152"/>
      <c r="H37" s="152"/>
      <c r="I37" s="152"/>
      <c r="J37" s="152"/>
      <c r="K37" s="152"/>
      <c r="L37" s="152"/>
      <c r="M37" s="152"/>
      <c r="N37" s="152" t="s">
        <v>742</v>
      </c>
      <c r="O37" s="152"/>
      <c r="P37" s="152"/>
      <c r="Q37" s="152"/>
      <c r="R37" s="152"/>
      <c r="S37" s="152"/>
      <c r="T37" s="153"/>
    </row>
    <row r="38" ht="13.5" customHeight="1">
      <c r="A38" s="165"/>
      <c r="B38" s="166" t="s">
        <v>854</v>
      </c>
      <c r="C38" s="167"/>
      <c r="D38" s="168"/>
      <c r="E38" s="169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70"/>
      <c r="C39" s="171"/>
      <c r="D39" s="172"/>
      <c r="E39" s="173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5"/>
    </row>
    <row r="40" ht="13.5" customHeight="1">
      <c r="A40" s="160" t="s">
        <v>865</v>
      </c>
      <c r="B40" s="176" t="s">
        <v>866</v>
      </c>
      <c r="C40" s="177"/>
      <c r="D40" s="178"/>
      <c r="E40" s="179"/>
      <c r="F40" s="180" t="s">
        <v>54</v>
      </c>
      <c r="G40" s="180" t="s">
        <v>54</v>
      </c>
      <c r="H40" s="180" t="s">
        <v>54</v>
      </c>
      <c r="I40" s="180" t="s">
        <v>55</v>
      </c>
      <c r="J40" s="180" t="s">
        <v>55</v>
      </c>
      <c r="K40" s="180" t="s">
        <v>54</v>
      </c>
      <c r="L40" s="180" t="s">
        <v>55</v>
      </c>
      <c r="M40" s="180" t="s">
        <v>54</v>
      </c>
      <c r="N40" s="180" t="s">
        <v>55</v>
      </c>
      <c r="O40" s="180"/>
      <c r="P40" s="180"/>
      <c r="Q40" s="180"/>
      <c r="R40" s="180"/>
      <c r="S40" s="180"/>
      <c r="T40" s="181"/>
    </row>
    <row r="41" ht="13.5" customHeight="1">
      <c r="A41" s="165"/>
      <c r="B41" s="182" t="s">
        <v>867</v>
      </c>
      <c r="C41" s="27"/>
      <c r="D41" s="25"/>
      <c r="E41" s="183"/>
      <c r="F41" s="184" t="s">
        <v>868</v>
      </c>
      <c r="G41" s="184" t="s">
        <v>868</v>
      </c>
      <c r="H41" s="184" t="s">
        <v>868</v>
      </c>
      <c r="I41" s="184" t="s">
        <v>868</v>
      </c>
      <c r="J41" s="184" t="s">
        <v>868</v>
      </c>
      <c r="K41" s="184" t="s">
        <v>868</v>
      </c>
      <c r="L41" s="184" t="s">
        <v>868</v>
      </c>
      <c r="M41" s="184" t="s">
        <v>868</v>
      </c>
      <c r="N41" s="184" t="s">
        <v>868</v>
      </c>
      <c r="O41" s="184"/>
      <c r="P41" s="184"/>
      <c r="Q41" s="184"/>
      <c r="R41" s="184"/>
      <c r="S41" s="184"/>
      <c r="T41" s="185"/>
    </row>
    <row r="42" ht="99.75" customHeight="1">
      <c r="A42" s="165"/>
      <c r="B42" s="186" t="s">
        <v>869</v>
      </c>
      <c r="C42" s="27"/>
      <c r="D42" s="25"/>
      <c r="E42" s="169"/>
      <c r="F42" s="187">
        <v>46293.0</v>
      </c>
      <c r="G42" s="187">
        <v>46293.0</v>
      </c>
      <c r="H42" s="187">
        <v>46293.0</v>
      </c>
      <c r="I42" s="187">
        <v>46293.0</v>
      </c>
      <c r="J42" s="187">
        <v>46293.0</v>
      </c>
      <c r="K42" s="187">
        <v>46293.0</v>
      </c>
      <c r="L42" s="187">
        <v>46293.0</v>
      </c>
      <c r="M42" s="187">
        <v>46293.0</v>
      </c>
      <c r="N42" s="187">
        <v>46293.0</v>
      </c>
      <c r="O42" s="187"/>
      <c r="P42" s="187"/>
      <c r="Q42" s="187"/>
      <c r="R42" s="187"/>
      <c r="S42" s="187"/>
      <c r="T42" s="188"/>
    </row>
    <row r="43" ht="72.75" customHeight="1">
      <c r="A43" s="190"/>
      <c r="B43" s="191" t="s">
        <v>870</v>
      </c>
      <c r="C43" s="192"/>
      <c r="D43" s="193"/>
      <c r="E43" s="194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6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0:D40"/>
    <mergeCell ref="B41:D41"/>
    <mergeCell ref="B42:D42"/>
    <mergeCell ref="B43:D43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1" width="3.57"/>
    <col customWidth="1" min="22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ht="13.5" customHeight="1">
      <c r="A2" s="111" t="s">
        <v>707</v>
      </c>
      <c r="B2" s="112"/>
      <c r="C2" s="113" t="s">
        <v>497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462</v>
      </c>
      <c r="M2" s="115"/>
      <c r="N2" s="115"/>
      <c r="O2" s="115"/>
      <c r="P2" s="115"/>
      <c r="Q2" s="115"/>
      <c r="R2" s="115"/>
      <c r="S2" s="115"/>
      <c r="T2" s="115"/>
      <c r="U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  <c r="U3" s="27"/>
    </row>
    <row r="4" ht="13.5" customHeight="1">
      <c r="A4" s="117" t="s">
        <v>711</v>
      </c>
      <c r="B4" s="27"/>
      <c r="C4" s="122">
        <v>290.0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</row>
    <row r="5" ht="13.5" customHeight="1">
      <c r="A5" s="117" t="s">
        <v>713</v>
      </c>
      <c r="B5" s="27"/>
      <c r="C5" s="124" t="s">
        <v>2387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</row>
    <row r="7" ht="13.5" customHeight="1">
      <c r="A7" s="129">
        <f>COUNTIF(F61:U61,"P")</f>
        <v>16</v>
      </c>
      <c r="B7" s="130"/>
      <c r="C7" s="131">
        <f>COUNTIF(F61:U61,"F")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COUNTIF(F60:U60,"N")</f>
        <v>8</v>
      </c>
      <c r="M7" s="132">
        <f>COUNTIF(F60:U60,"A")</f>
        <v>7</v>
      </c>
      <c r="N7" s="132">
        <f>COUNTIF(F60:U60,"B")</f>
        <v>1</v>
      </c>
      <c r="O7" s="133">
        <f>COUNTA(F9:U9)</f>
        <v>16</v>
      </c>
      <c r="P7" s="130"/>
      <c r="Q7" s="130"/>
      <c r="R7" s="130"/>
      <c r="S7" s="130"/>
      <c r="T7" s="130"/>
      <c r="U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40" t="s">
        <v>731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7"/>
    </row>
    <row r="11" ht="13.5" customHeight="1">
      <c r="A11" s="148"/>
      <c r="B11" s="149"/>
      <c r="C11" s="150"/>
      <c r="D11" s="151" t="s">
        <v>2388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3"/>
    </row>
    <row r="12" ht="13.5" customHeight="1">
      <c r="A12" s="148"/>
      <c r="B12" s="149"/>
      <c r="C12" s="150"/>
      <c r="D12" s="151" t="s">
        <v>2389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3"/>
    </row>
    <row r="13" ht="13.5" customHeight="1">
      <c r="A13" s="148"/>
      <c r="B13" s="149"/>
      <c r="C13" s="150"/>
      <c r="D13" s="151" t="s">
        <v>2390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3"/>
    </row>
    <row r="14" ht="13.5" customHeight="1">
      <c r="A14" s="148"/>
      <c r="B14" s="149"/>
      <c r="C14" s="150"/>
      <c r="D14" s="151" t="s">
        <v>2391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3"/>
    </row>
    <row r="15" ht="13.5" customHeight="1">
      <c r="A15" s="148"/>
      <c r="B15" s="149"/>
      <c r="C15" s="150"/>
      <c r="D15" s="151" t="s">
        <v>2392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3"/>
    </row>
    <row r="16" ht="13.5" customHeight="1">
      <c r="A16" s="148"/>
      <c r="B16" s="149"/>
      <c r="C16" s="150"/>
      <c r="D16" s="151" t="s">
        <v>2393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2"/>
      <c r="U16" s="153"/>
    </row>
    <row r="17" ht="13.5" customHeight="1">
      <c r="A17" s="148"/>
      <c r="B17" s="149"/>
      <c r="C17" s="150"/>
      <c r="D17" s="151" t="s">
        <v>2394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 t="s">
        <v>742</v>
      </c>
      <c r="N17" s="152" t="s">
        <v>742</v>
      </c>
      <c r="O17" s="152"/>
      <c r="P17" s="152"/>
      <c r="Q17" s="152"/>
      <c r="R17" s="152"/>
      <c r="S17" s="152"/>
      <c r="T17" s="152"/>
      <c r="U17" s="153"/>
    </row>
    <row r="18" ht="13.5" customHeight="1">
      <c r="A18" s="148"/>
      <c r="B18" s="149"/>
      <c r="C18" s="150"/>
      <c r="D18" s="151" t="s">
        <v>2317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 t="s">
        <v>742</v>
      </c>
      <c r="P18" s="152"/>
      <c r="Q18" s="152"/>
      <c r="R18" s="152"/>
      <c r="S18" s="152"/>
      <c r="T18" s="152"/>
      <c r="U18" s="153"/>
    </row>
    <row r="19" ht="13.5" customHeight="1">
      <c r="A19" s="148"/>
      <c r="B19" s="149"/>
      <c r="C19" s="150"/>
      <c r="D19" s="151" t="s">
        <v>2395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 t="s">
        <v>742</v>
      </c>
      <c r="Q19" s="152"/>
      <c r="R19" s="152" t="s">
        <v>742</v>
      </c>
      <c r="S19" s="152"/>
      <c r="T19" s="152"/>
      <c r="U19" s="153"/>
    </row>
    <row r="20" ht="13.5" customHeight="1">
      <c r="A20" s="148"/>
      <c r="B20" s="149"/>
      <c r="C20" s="150"/>
      <c r="D20" s="151" t="s">
        <v>2396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 t="s">
        <v>742</v>
      </c>
      <c r="R20" s="152"/>
      <c r="S20" s="152"/>
      <c r="T20" s="152"/>
      <c r="U20" s="153"/>
    </row>
    <row r="21" ht="13.5" customHeight="1">
      <c r="A21" s="148"/>
      <c r="B21" s="149"/>
      <c r="C21" s="150"/>
      <c r="D21" s="151" t="s">
        <v>2397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 t="s">
        <v>742</v>
      </c>
      <c r="T21" s="152"/>
      <c r="U21" s="153"/>
    </row>
    <row r="22" ht="13.5" customHeight="1">
      <c r="A22" s="148"/>
      <c r="B22" s="149"/>
      <c r="C22" s="150"/>
      <c r="D22" s="151" t="s">
        <v>2316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 t="s">
        <v>742</v>
      </c>
      <c r="U22" s="153"/>
    </row>
    <row r="23" ht="13.5" customHeight="1">
      <c r="A23" s="148"/>
      <c r="B23" s="149"/>
      <c r="C23" s="150"/>
      <c r="D23" s="151" t="s">
        <v>2261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3" t="s">
        <v>742</v>
      </c>
    </row>
    <row r="24" ht="13.5" customHeight="1">
      <c r="A24" s="148"/>
      <c r="B24" s="149" t="s">
        <v>768</v>
      </c>
      <c r="C24" s="150"/>
      <c r="D24" s="151"/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3"/>
    </row>
    <row r="25" ht="13.5" customHeight="1">
      <c r="A25" s="148"/>
      <c r="B25" s="149"/>
      <c r="C25" s="150"/>
      <c r="D25" s="151" t="s">
        <v>2398</v>
      </c>
      <c r="E25" s="145"/>
      <c r="F25" s="152" t="s">
        <v>742</v>
      </c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3"/>
    </row>
    <row r="26" ht="13.5" customHeight="1">
      <c r="A26" s="148"/>
      <c r="B26" s="149"/>
      <c r="C26" s="150"/>
      <c r="D26" s="151" t="s">
        <v>2399</v>
      </c>
      <c r="E26" s="145"/>
      <c r="F26" s="152"/>
      <c r="G26" s="152" t="s">
        <v>742</v>
      </c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/>
    </row>
    <row r="27" ht="13.5" customHeight="1">
      <c r="A27" s="148"/>
      <c r="B27" s="149"/>
      <c r="C27" s="150"/>
      <c r="D27" s="151" t="s">
        <v>2400</v>
      </c>
      <c r="E27" s="145"/>
      <c r="F27" s="152"/>
      <c r="G27" s="152"/>
      <c r="H27" s="152" t="s">
        <v>742</v>
      </c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3"/>
    </row>
    <row r="28" ht="13.5" customHeight="1">
      <c r="A28" s="148"/>
      <c r="B28" s="149"/>
      <c r="C28" s="150"/>
      <c r="D28" s="151" t="s">
        <v>2401</v>
      </c>
      <c r="E28" s="145"/>
      <c r="F28" s="152"/>
      <c r="G28" s="152"/>
      <c r="H28" s="152"/>
      <c r="I28" s="152" t="s">
        <v>742</v>
      </c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3"/>
    </row>
    <row r="29" ht="13.5" customHeight="1">
      <c r="A29" s="148"/>
      <c r="B29" s="149"/>
      <c r="C29" s="150"/>
      <c r="D29" s="151" t="s">
        <v>2403</v>
      </c>
      <c r="E29" s="145"/>
      <c r="F29" s="152"/>
      <c r="G29" s="152"/>
      <c r="H29" s="152"/>
      <c r="I29" s="152"/>
      <c r="J29" s="152" t="s">
        <v>742</v>
      </c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3"/>
    </row>
    <row r="30" ht="13.5" customHeight="1">
      <c r="A30" s="148"/>
      <c r="B30" s="149"/>
      <c r="C30" s="150"/>
      <c r="D30" s="151" t="s">
        <v>2404</v>
      </c>
      <c r="E30" s="145"/>
      <c r="F30" s="152"/>
      <c r="G30" s="152"/>
      <c r="H30" s="152"/>
      <c r="I30" s="152"/>
      <c r="J30" s="152"/>
      <c r="K30" s="152" t="s">
        <v>742</v>
      </c>
      <c r="L30" s="152"/>
      <c r="M30" s="152"/>
      <c r="N30" s="152"/>
      <c r="O30" s="152"/>
      <c r="P30" s="152"/>
      <c r="Q30" s="152"/>
      <c r="R30" s="152"/>
      <c r="S30" s="152"/>
      <c r="T30" s="152"/>
      <c r="U30" s="153"/>
    </row>
    <row r="31" ht="13.5" customHeight="1">
      <c r="A31" s="148"/>
      <c r="B31" s="149"/>
      <c r="C31" s="150"/>
      <c r="D31" s="151" t="s">
        <v>2405</v>
      </c>
      <c r="E31" s="145"/>
      <c r="F31" s="152"/>
      <c r="G31" s="152"/>
      <c r="H31" s="152"/>
      <c r="I31" s="152"/>
      <c r="J31" s="152"/>
      <c r="K31" s="152"/>
      <c r="L31" s="152" t="s">
        <v>742</v>
      </c>
      <c r="M31" s="152"/>
      <c r="N31" s="152"/>
      <c r="O31" s="152"/>
      <c r="P31" s="152"/>
      <c r="Q31" s="152"/>
      <c r="R31" s="152"/>
      <c r="S31" s="152"/>
      <c r="T31" s="152"/>
      <c r="U31" s="153"/>
    </row>
    <row r="32" ht="13.5" customHeight="1">
      <c r="A32" s="148"/>
      <c r="B32" s="149"/>
      <c r="C32" s="150"/>
      <c r="D32" s="151" t="s">
        <v>2406</v>
      </c>
      <c r="E32" s="145"/>
      <c r="F32" s="152"/>
      <c r="G32" s="152"/>
      <c r="H32" s="152"/>
      <c r="I32" s="152"/>
      <c r="J32" s="152"/>
      <c r="K32" s="152"/>
      <c r="L32" s="152"/>
      <c r="M32" s="152" t="s">
        <v>742</v>
      </c>
      <c r="N32" s="152"/>
      <c r="O32" s="152"/>
      <c r="P32" s="152"/>
      <c r="Q32" s="152"/>
      <c r="R32" s="152"/>
      <c r="S32" s="152"/>
      <c r="T32" s="152"/>
      <c r="U32" s="153"/>
    </row>
    <row r="33" ht="13.5" customHeight="1">
      <c r="A33" s="148"/>
      <c r="B33" s="149"/>
      <c r="C33" s="150"/>
      <c r="D33" s="151" t="s">
        <v>2407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 t="s">
        <v>742</v>
      </c>
      <c r="O33" s="152"/>
      <c r="P33" s="152"/>
      <c r="Q33" s="152"/>
      <c r="R33" s="152"/>
      <c r="S33" s="152"/>
      <c r="T33" s="152"/>
      <c r="U33" s="153"/>
    </row>
    <row r="34" ht="13.5" customHeight="1">
      <c r="A34" s="148"/>
      <c r="B34" s="149"/>
      <c r="C34" s="150"/>
      <c r="D34" s="151" t="s">
        <v>2408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 t="s">
        <v>742</v>
      </c>
      <c r="P34" s="152"/>
      <c r="Q34" s="152"/>
      <c r="R34" s="152"/>
      <c r="S34" s="152"/>
      <c r="T34" s="152"/>
      <c r="U34" s="153"/>
    </row>
    <row r="35" ht="13.5" customHeight="1">
      <c r="A35" s="148"/>
      <c r="B35" s="149"/>
      <c r="C35" s="150"/>
      <c r="D35" s="151" t="s">
        <v>2409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 t="s">
        <v>742</v>
      </c>
      <c r="Q35" s="152"/>
      <c r="R35" s="152"/>
      <c r="S35" s="152"/>
      <c r="T35" s="152"/>
      <c r="U35" s="153"/>
    </row>
    <row r="36" ht="13.5" customHeight="1">
      <c r="A36" s="148"/>
      <c r="B36" s="149"/>
      <c r="C36" s="150"/>
      <c r="D36" s="151" t="s">
        <v>2410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 t="s">
        <v>742</v>
      </c>
      <c r="R36" s="152"/>
      <c r="S36" s="152"/>
      <c r="T36" s="152"/>
      <c r="U36" s="153"/>
    </row>
    <row r="37" ht="13.5" customHeight="1">
      <c r="A37" s="148"/>
      <c r="B37" s="149"/>
      <c r="C37" s="150"/>
      <c r="D37" s="151" t="s">
        <v>2411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 t="s">
        <v>742</v>
      </c>
      <c r="S37" s="152" t="s">
        <v>742</v>
      </c>
      <c r="T37" s="152"/>
      <c r="U37" s="153"/>
    </row>
    <row r="38" ht="13.5" customHeight="1">
      <c r="A38" s="148"/>
      <c r="B38" s="149"/>
      <c r="C38" s="150"/>
      <c r="D38" s="151" t="s">
        <v>2412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 t="s">
        <v>742</v>
      </c>
      <c r="U38" s="153" t="s">
        <v>742</v>
      </c>
    </row>
    <row r="39" ht="13.5" customHeight="1">
      <c r="A39" s="148"/>
      <c r="B39" s="154"/>
      <c r="C39" s="155"/>
      <c r="D39" s="156"/>
      <c r="E39" s="157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9"/>
    </row>
    <row r="40" ht="13.5" customHeight="1">
      <c r="A40" s="160" t="s">
        <v>802</v>
      </c>
      <c r="B40" s="161" t="s">
        <v>804</v>
      </c>
      <c r="C40" s="162"/>
      <c r="D40" s="163"/>
      <c r="E40" s="164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7"/>
    </row>
    <row r="41" ht="13.5" customHeight="1">
      <c r="A41" s="165"/>
      <c r="B41" s="166"/>
      <c r="C41" s="167"/>
      <c r="D41" s="168" t="s">
        <v>2413</v>
      </c>
      <c r="E41" s="169"/>
      <c r="F41" s="152" t="s">
        <v>742</v>
      </c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3"/>
    </row>
    <row r="42" ht="13.5" customHeight="1">
      <c r="A42" s="165"/>
      <c r="B42" s="166"/>
      <c r="C42" s="167"/>
      <c r="D42" s="168" t="s">
        <v>2414</v>
      </c>
      <c r="E42" s="169"/>
      <c r="F42" s="152"/>
      <c r="G42" s="152" t="s">
        <v>742</v>
      </c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3"/>
    </row>
    <row r="43" ht="13.5" customHeight="1">
      <c r="A43" s="165"/>
      <c r="B43" s="166"/>
      <c r="C43" s="167"/>
      <c r="D43" s="168" t="s">
        <v>2415</v>
      </c>
      <c r="E43" s="169"/>
      <c r="F43" s="152"/>
      <c r="G43" s="152"/>
      <c r="H43" s="152"/>
      <c r="I43" s="152" t="s">
        <v>742</v>
      </c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3"/>
    </row>
    <row r="44" ht="13.5" customHeight="1">
      <c r="A44" s="165"/>
      <c r="B44" s="166"/>
      <c r="C44" s="167"/>
      <c r="D44" s="168" t="s">
        <v>2417</v>
      </c>
      <c r="E44" s="169"/>
      <c r="F44" s="152"/>
      <c r="G44" s="152"/>
      <c r="H44" s="152"/>
      <c r="I44" s="152"/>
      <c r="J44" s="152"/>
      <c r="K44" s="152" t="s">
        <v>742</v>
      </c>
      <c r="L44" s="152"/>
      <c r="M44" s="152"/>
      <c r="N44" s="152"/>
      <c r="O44" s="152"/>
      <c r="P44" s="152"/>
      <c r="Q44" s="152"/>
      <c r="R44" s="152"/>
      <c r="S44" s="152"/>
      <c r="T44" s="152"/>
      <c r="U44" s="153"/>
    </row>
    <row r="45" ht="13.5" customHeight="1">
      <c r="A45" s="165"/>
      <c r="B45" s="166"/>
      <c r="C45" s="167"/>
      <c r="D45" s="168" t="s">
        <v>2420</v>
      </c>
      <c r="E45" s="169"/>
      <c r="F45" s="152"/>
      <c r="G45" s="152"/>
      <c r="H45" s="152"/>
      <c r="I45" s="152"/>
      <c r="J45" s="152"/>
      <c r="K45" s="152"/>
      <c r="L45" s="152" t="s">
        <v>742</v>
      </c>
      <c r="M45" s="152"/>
      <c r="N45" s="152"/>
      <c r="O45" s="152"/>
      <c r="P45" s="152"/>
      <c r="Q45" s="152"/>
      <c r="R45" s="152"/>
      <c r="S45" s="152"/>
      <c r="T45" s="152"/>
      <c r="U45" s="153"/>
    </row>
    <row r="46" ht="13.5" customHeight="1">
      <c r="A46" s="165"/>
      <c r="B46" s="166"/>
      <c r="C46" s="167"/>
      <c r="D46" s="168" t="s">
        <v>2421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 t="s">
        <v>742</v>
      </c>
      <c r="Q46" s="152"/>
      <c r="R46" s="152"/>
      <c r="S46" s="152"/>
      <c r="T46" s="152"/>
      <c r="U46" s="153"/>
    </row>
    <row r="47" ht="13.5" customHeight="1">
      <c r="A47" s="165"/>
      <c r="B47" s="166"/>
      <c r="C47" s="167"/>
      <c r="D47" s="168" t="s">
        <v>2423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 t="s">
        <v>742</v>
      </c>
      <c r="S47" s="152"/>
      <c r="T47" s="152"/>
      <c r="U47" s="153"/>
    </row>
    <row r="48" ht="13.5" customHeight="1">
      <c r="A48" s="165"/>
      <c r="B48" s="166"/>
      <c r="C48" s="167"/>
      <c r="D48" s="168" t="s">
        <v>2424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 t="s">
        <v>742</v>
      </c>
      <c r="T48" s="152"/>
      <c r="U48" s="153"/>
    </row>
    <row r="49" ht="13.5" customHeight="1">
      <c r="A49" s="165"/>
      <c r="B49" s="166"/>
      <c r="C49" s="167"/>
      <c r="D49" s="168" t="s">
        <v>2426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 t="s">
        <v>742</v>
      </c>
      <c r="U49" s="153"/>
    </row>
    <row r="50" ht="13.5" customHeight="1">
      <c r="A50" s="165"/>
      <c r="B50" s="166" t="s">
        <v>825</v>
      </c>
      <c r="C50" s="167"/>
      <c r="D50" s="168"/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3"/>
    </row>
    <row r="51" ht="13.5" customHeight="1">
      <c r="A51" s="165"/>
      <c r="B51" s="166"/>
      <c r="C51" s="167"/>
      <c r="D51" s="168" t="s">
        <v>2428</v>
      </c>
      <c r="E51" s="169"/>
      <c r="F51" s="152"/>
      <c r="G51" s="152"/>
      <c r="H51" s="152" t="s">
        <v>742</v>
      </c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3"/>
    </row>
    <row r="52" ht="13.5" customHeight="1">
      <c r="A52" s="165"/>
      <c r="B52" s="166"/>
      <c r="C52" s="167"/>
      <c r="D52" s="168" t="s">
        <v>2429</v>
      </c>
      <c r="E52" s="169"/>
      <c r="F52" s="152"/>
      <c r="G52" s="152"/>
      <c r="H52" s="152"/>
      <c r="I52" s="152"/>
      <c r="J52" s="152" t="s">
        <v>742</v>
      </c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3"/>
    </row>
    <row r="53" ht="13.5" customHeight="1">
      <c r="A53" s="165"/>
      <c r="B53" s="166"/>
      <c r="C53" s="167"/>
      <c r="D53" s="168" t="s">
        <v>2431</v>
      </c>
      <c r="E53" s="169"/>
      <c r="F53" s="152"/>
      <c r="G53" s="152"/>
      <c r="H53" s="152"/>
      <c r="I53" s="152"/>
      <c r="J53" s="152"/>
      <c r="K53" s="152"/>
      <c r="L53" s="152"/>
      <c r="M53" s="152" t="s">
        <v>742</v>
      </c>
      <c r="N53" s="152"/>
      <c r="O53" s="152"/>
      <c r="P53" s="152"/>
      <c r="Q53" s="152"/>
      <c r="R53" s="152"/>
      <c r="S53" s="152"/>
      <c r="T53" s="152"/>
      <c r="U53" s="153"/>
    </row>
    <row r="54" ht="13.5" customHeight="1">
      <c r="A54" s="165"/>
      <c r="B54" s="166"/>
      <c r="C54" s="167"/>
      <c r="D54" s="168" t="s">
        <v>2433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 t="s">
        <v>742</v>
      </c>
      <c r="O54" s="152"/>
      <c r="P54" s="152"/>
      <c r="Q54" s="152"/>
      <c r="R54" s="152"/>
      <c r="S54" s="152"/>
      <c r="T54" s="152"/>
      <c r="U54" s="153"/>
    </row>
    <row r="55" ht="13.5" customHeight="1">
      <c r="A55" s="165"/>
      <c r="B55" s="166"/>
      <c r="C55" s="167"/>
      <c r="D55" s="168" t="s">
        <v>2360</v>
      </c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 t="s">
        <v>742</v>
      </c>
      <c r="P55" s="152"/>
      <c r="Q55" s="152"/>
      <c r="R55" s="152"/>
      <c r="S55" s="152"/>
      <c r="T55" s="152"/>
      <c r="U55" s="153"/>
    </row>
    <row r="56" ht="13.5" customHeight="1">
      <c r="A56" s="165"/>
      <c r="B56" s="166"/>
      <c r="C56" s="167"/>
      <c r="D56" s="168" t="s">
        <v>2437</v>
      </c>
      <c r="E56" s="16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 t="s">
        <v>742</v>
      </c>
      <c r="R56" s="152"/>
      <c r="S56" s="152"/>
      <c r="T56" s="152"/>
      <c r="U56" s="153"/>
    </row>
    <row r="57" ht="13.5" customHeight="1">
      <c r="A57" s="165"/>
      <c r="B57" s="166"/>
      <c r="C57" s="167"/>
      <c r="D57" s="168" t="s">
        <v>2359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3" t="s">
        <v>742</v>
      </c>
    </row>
    <row r="58" ht="13.5" customHeight="1">
      <c r="A58" s="165"/>
      <c r="B58" s="166" t="s">
        <v>854</v>
      </c>
      <c r="C58" s="167"/>
      <c r="D58" s="168"/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3"/>
    </row>
    <row r="59" ht="13.5" customHeight="1">
      <c r="A59" s="165"/>
      <c r="B59" s="170"/>
      <c r="C59" s="171"/>
      <c r="D59" s="172"/>
      <c r="E59" s="173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5"/>
    </row>
    <row r="60" ht="13.5" customHeight="1">
      <c r="A60" s="160" t="s">
        <v>865</v>
      </c>
      <c r="B60" s="176" t="s">
        <v>866</v>
      </c>
      <c r="C60" s="177"/>
      <c r="D60" s="178"/>
      <c r="E60" s="179"/>
      <c r="F60" s="180" t="s">
        <v>54</v>
      </c>
      <c r="G60" s="180" t="s">
        <v>54</v>
      </c>
      <c r="H60" s="180" t="s">
        <v>55</v>
      </c>
      <c r="I60" s="180" t="s">
        <v>54</v>
      </c>
      <c r="J60" s="180" t="s">
        <v>55</v>
      </c>
      <c r="K60" s="180" t="s">
        <v>54</v>
      </c>
      <c r="L60" s="180" t="s">
        <v>57</v>
      </c>
      <c r="M60" s="180" t="s">
        <v>55</v>
      </c>
      <c r="N60" s="180" t="s">
        <v>55</v>
      </c>
      <c r="O60" s="180" t="s">
        <v>55</v>
      </c>
      <c r="P60" s="180" t="s">
        <v>54</v>
      </c>
      <c r="Q60" s="180" t="s">
        <v>55</v>
      </c>
      <c r="R60" s="180" t="s">
        <v>54</v>
      </c>
      <c r="S60" s="180" t="s">
        <v>54</v>
      </c>
      <c r="T60" s="180" t="s">
        <v>54</v>
      </c>
      <c r="U60" s="181" t="s">
        <v>55</v>
      </c>
    </row>
    <row r="61" ht="13.5" customHeight="1">
      <c r="A61" s="165"/>
      <c r="B61" s="182" t="s">
        <v>867</v>
      </c>
      <c r="C61" s="27"/>
      <c r="D61" s="25"/>
      <c r="E61" s="183"/>
      <c r="F61" s="184" t="s">
        <v>868</v>
      </c>
      <c r="G61" s="184" t="s">
        <v>868</v>
      </c>
      <c r="H61" s="184" t="s">
        <v>868</v>
      </c>
      <c r="I61" s="184" t="s">
        <v>868</v>
      </c>
      <c r="J61" s="184" t="s">
        <v>868</v>
      </c>
      <c r="K61" s="184" t="s">
        <v>868</v>
      </c>
      <c r="L61" s="184" t="s">
        <v>868</v>
      </c>
      <c r="M61" s="184" t="s">
        <v>868</v>
      </c>
      <c r="N61" s="184" t="s">
        <v>868</v>
      </c>
      <c r="O61" s="184" t="s">
        <v>868</v>
      </c>
      <c r="P61" s="184" t="s">
        <v>868</v>
      </c>
      <c r="Q61" s="184" t="s">
        <v>868</v>
      </c>
      <c r="R61" s="184" t="s">
        <v>868</v>
      </c>
      <c r="S61" s="184" t="s">
        <v>868</v>
      </c>
      <c r="T61" s="184" t="s">
        <v>868</v>
      </c>
      <c r="U61" s="185" t="s">
        <v>868</v>
      </c>
    </row>
    <row r="62" ht="99.75" customHeight="1">
      <c r="A62" s="165"/>
      <c r="B62" s="186" t="s">
        <v>869</v>
      </c>
      <c r="C62" s="27"/>
      <c r="D62" s="25"/>
      <c r="E62" s="169"/>
      <c r="F62" s="187">
        <v>46294.0</v>
      </c>
      <c r="G62" s="187">
        <v>46294.0</v>
      </c>
      <c r="H62" s="187">
        <v>46294.0</v>
      </c>
      <c r="I62" s="187">
        <v>46294.0</v>
      </c>
      <c r="J62" s="187">
        <v>46294.0</v>
      </c>
      <c r="K62" s="187">
        <v>46294.0</v>
      </c>
      <c r="L62" s="187">
        <v>46294.0</v>
      </c>
      <c r="M62" s="187">
        <v>46294.0</v>
      </c>
      <c r="N62" s="187">
        <v>46294.0</v>
      </c>
      <c r="O62" s="187">
        <v>46294.0</v>
      </c>
      <c r="P62" s="187">
        <v>46294.0</v>
      </c>
      <c r="Q62" s="187">
        <v>46294.0</v>
      </c>
      <c r="R62" s="187">
        <v>46294.0</v>
      </c>
      <c r="S62" s="187">
        <v>46294.0</v>
      </c>
      <c r="T62" s="187">
        <v>46294.0</v>
      </c>
      <c r="U62" s="188">
        <v>46294.0</v>
      </c>
    </row>
    <row r="63" ht="72.75" customHeight="1">
      <c r="A63" s="190"/>
      <c r="B63" s="191" t="s">
        <v>870</v>
      </c>
      <c r="C63" s="192"/>
      <c r="D63" s="193"/>
      <c r="E63" s="194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6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U2"/>
    <mergeCell ref="C3:E3"/>
    <mergeCell ref="F3:K3"/>
    <mergeCell ref="L3:U3"/>
    <mergeCell ref="A3:B3"/>
    <mergeCell ref="A4:B4"/>
    <mergeCell ref="C4:D4"/>
    <mergeCell ref="F4:K4"/>
    <mergeCell ref="L4:U4"/>
    <mergeCell ref="A5:B5"/>
    <mergeCell ref="C5:U5"/>
    <mergeCell ref="O6:U6"/>
    <mergeCell ref="O7:U7"/>
    <mergeCell ref="B60:D60"/>
    <mergeCell ref="B61:D61"/>
    <mergeCell ref="B62:D62"/>
    <mergeCell ref="B63:D63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510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471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206.0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2402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COUNTIF(F51:T51,"P")</f>
        <v>13</v>
      </c>
      <c r="B7" s="130"/>
      <c r="C7" s="131">
        <f>COUNTIF(F51:T51,"F")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COUNTIF(F50:T50,"N")</f>
        <v>8</v>
      </c>
      <c r="M7" s="132">
        <f>COUNTIF(F50:T50,"A")</f>
        <v>4</v>
      </c>
      <c r="N7" s="132">
        <f>COUNTIF(F50:T50,"B")</f>
        <v>1</v>
      </c>
      <c r="O7" s="133">
        <f>COUNTA(F9:T9)</f>
        <v>13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2416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2418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2392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2422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2394</v>
      </c>
      <c r="E15" s="145"/>
      <c r="F15" s="152"/>
      <c r="G15" s="152"/>
      <c r="H15" s="152"/>
      <c r="I15" s="152"/>
      <c r="J15" s="152" t="s">
        <v>742</v>
      </c>
      <c r="K15" s="152"/>
      <c r="L15" s="152" t="s">
        <v>742</v>
      </c>
      <c r="M15" s="152" t="s">
        <v>742</v>
      </c>
      <c r="N15" s="152" t="s">
        <v>742</v>
      </c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2425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2395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 t="s">
        <v>742</v>
      </c>
      <c r="P17" s="152"/>
      <c r="Q17" s="152" t="s">
        <v>742</v>
      </c>
      <c r="R17" s="152"/>
      <c r="S17" s="152"/>
      <c r="T17" s="153"/>
    </row>
    <row r="18" ht="13.5" customHeight="1">
      <c r="A18" s="148"/>
      <c r="B18" s="149"/>
      <c r="C18" s="150"/>
      <c r="D18" s="151" t="s">
        <v>2427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 t="s">
        <v>742</v>
      </c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2268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 t="s">
        <v>742</v>
      </c>
      <c r="S19" s="152"/>
      <c r="T19" s="153"/>
    </row>
    <row r="20" ht="13.5" customHeight="1">
      <c r="A20" s="148"/>
      <c r="B20" s="149" t="s">
        <v>768</v>
      </c>
      <c r="C20" s="150"/>
      <c r="D20" s="151"/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2430</v>
      </c>
      <c r="E21" s="145"/>
      <c r="F21" s="152" t="s">
        <v>742</v>
      </c>
      <c r="G21" s="152" t="s">
        <v>742</v>
      </c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2432</v>
      </c>
      <c r="E22" s="145"/>
      <c r="F22" s="152"/>
      <c r="G22" s="152"/>
      <c r="H22" s="152" t="s">
        <v>742</v>
      </c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2434</v>
      </c>
      <c r="E23" s="145"/>
      <c r="F23" s="152"/>
      <c r="G23" s="152"/>
      <c r="H23" s="152"/>
      <c r="I23" s="152" t="s">
        <v>742</v>
      </c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2435</v>
      </c>
      <c r="E24" s="145"/>
      <c r="F24" s="152"/>
      <c r="G24" s="152"/>
      <c r="H24" s="152"/>
      <c r="I24" s="152"/>
      <c r="J24" s="152" t="s">
        <v>742</v>
      </c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2436</v>
      </c>
      <c r="E25" s="145"/>
      <c r="F25" s="152"/>
      <c r="G25" s="152"/>
      <c r="H25" s="152"/>
      <c r="I25" s="152"/>
      <c r="J25" s="152"/>
      <c r="K25" s="152" t="s">
        <v>742</v>
      </c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2438</v>
      </c>
      <c r="E26" s="145"/>
      <c r="F26" s="152"/>
      <c r="G26" s="152"/>
      <c r="H26" s="152"/>
      <c r="I26" s="152"/>
      <c r="J26" s="152"/>
      <c r="K26" s="152"/>
      <c r="L26" s="152" t="s">
        <v>742</v>
      </c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2439</v>
      </c>
      <c r="E27" s="145"/>
      <c r="F27" s="152"/>
      <c r="G27" s="152"/>
      <c r="H27" s="152"/>
      <c r="I27" s="152"/>
      <c r="J27" s="152"/>
      <c r="K27" s="152"/>
      <c r="L27" s="152"/>
      <c r="M27" s="152" t="s">
        <v>742</v>
      </c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2441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 t="s">
        <v>742</v>
      </c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2443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 t="s">
        <v>742</v>
      </c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2446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 t="s">
        <v>742</v>
      </c>
      <c r="Q30" s="152"/>
      <c r="R30" s="152"/>
      <c r="S30" s="152"/>
      <c r="T30" s="153"/>
    </row>
    <row r="31" ht="13.5" customHeight="1">
      <c r="A31" s="148"/>
      <c r="B31" s="149"/>
      <c r="C31" s="150"/>
      <c r="D31" s="151" t="s">
        <v>2448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 t="s">
        <v>742</v>
      </c>
      <c r="R31" s="152" t="s">
        <v>742</v>
      </c>
      <c r="S31" s="152"/>
      <c r="T31" s="153"/>
    </row>
    <row r="32" ht="13.5" customHeight="1">
      <c r="A32" s="148"/>
      <c r="B32" s="154"/>
      <c r="C32" s="155"/>
      <c r="D32" s="156"/>
      <c r="E32" s="157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9"/>
    </row>
    <row r="33" ht="13.5" customHeight="1">
      <c r="A33" s="160" t="s">
        <v>802</v>
      </c>
      <c r="B33" s="161" t="s">
        <v>804</v>
      </c>
      <c r="C33" s="162"/>
      <c r="D33" s="163"/>
      <c r="E33" s="164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7"/>
    </row>
    <row r="34" ht="13.5" customHeight="1">
      <c r="A34" s="165"/>
      <c r="B34" s="166"/>
      <c r="C34" s="167"/>
      <c r="D34" s="168" t="s">
        <v>2454</v>
      </c>
      <c r="E34" s="169"/>
      <c r="F34" s="152" t="s">
        <v>742</v>
      </c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2456</v>
      </c>
      <c r="E35" s="169"/>
      <c r="F35" s="152"/>
      <c r="G35" s="152" t="s">
        <v>742</v>
      </c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2458</v>
      </c>
      <c r="E36" s="169"/>
      <c r="F36" s="152"/>
      <c r="G36" s="152"/>
      <c r="H36" s="152"/>
      <c r="I36" s="152" t="s">
        <v>742</v>
      </c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2460</v>
      </c>
      <c r="E37" s="169"/>
      <c r="F37" s="152"/>
      <c r="G37" s="152"/>
      <c r="H37" s="152"/>
      <c r="I37" s="152"/>
      <c r="J37" s="152" t="s">
        <v>742</v>
      </c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2462</v>
      </c>
      <c r="E38" s="169"/>
      <c r="F38" s="152"/>
      <c r="G38" s="152"/>
      <c r="H38" s="152"/>
      <c r="I38" s="152"/>
      <c r="J38" s="152"/>
      <c r="K38" s="152" t="s">
        <v>742</v>
      </c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2464</v>
      </c>
      <c r="E39" s="169"/>
      <c r="F39" s="152"/>
      <c r="G39" s="152"/>
      <c r="H39" s="152"/>
      <c r="I39" s="152"/>
      <c r="J39" s="152"/>
      <c r="K39" s="152"/>
      <c r="L39" s="152" t="s">
        <v>742</v>
      </c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2466</v>
      </c>
      <c r="E40" s="169"/>
      <c r="F40" s="152"/>
      <c r="G40" s="152"/>
      <c r="H40" s="152"/>
      <c r="I40" s="152"/>
      <c r="J40" s="152"/>
      <c r="K40" s="152"/>
      <c r="L40" s="152"/>
      <c r="M40" s="152"/>
      <c r="N40" s="152"/>
      <c r="O40" s="152" t="s">
        <v>742</v>
      </c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2468</v>
      </c>
      <c r="E41" s="169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 t="s">
        <v>742</v>
      </c>
      <c r="R41" s="152"/>
      <c r="S41" s="152"/>
      <c r="T41" s="153"/>
    </row>
    <row r="42" ht="13.5" customHeight="1">
      <c r="A42" s="165"/>
      <c r="B42" s="166"/>
      <c r="C42" s="167"/>
      <c r="D42" s="168" t="s">
        <v>2470</v>
      </c>
      <c r="E42" s="169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 t="s">
        <v>742</v>
      </c>
      <c r="S42" s="152"/>
      <c r="T42" s="153"/>
    </row>
    <row r="43" ht="13.5" customHeight="1">
      <c r="A43" s="165"/>
      <c r="B43" s="166" t="s">
        <v>825</v>
      </c>
      <c r="C43" s="167"/>
      <c r="D43" s="168"/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2429</v>
      </c>
      <c r="E44" s="169"/>
      <c r="F44" s="152"/>
      <c r="G44" s="152"/>
      <c r="H44" s="152" t="s">
        <v>742</v>
      </c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3"/>
    </row>
    <row r="45" ht="13.5" customHeight="1">
      <c r="A45" s="165"/>
      <c r="B45" s="166"/>
      <c r="C45" s="167"/>
      <c r="D45" s="168" t="s">
        <v>2475</v>
      </c>
      <c r="E45" s="169"/>
      <c r="F45" s="152"/>
      <c r="G45" s="152"/>
      <c r="H45" s="152"/>
      <c r="I45" s="152"/>
      <c r="J45" s="152"/>
      <c r="K45" s="152"/>
      <c r="L45" s="152"/>
      <c r="M45" s="152" t="s">
        <v>742</v>
      </c>
      <c r="N45" s="152"/>
      <c r="O45" s="152"/>
      <c r="P45" s="152"/>
      <c r="Q45" s="152"/>
      <c r="R45" s="152"/>
      <c r="S45" s="152"/>
      <c r="T45" s="153"/>
    </row>
    <row r="46" ht="13.5" customHeight="1">
      <c r="A46" s="165"/>
      <c r="B46" s="166"/>
      <c r="C46" s="167"/>
      <c r="D46" s="168" t="s">
        <v>2477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 t="s">
        <v>742</v>
      </c>
      <c r="O46" s="152"/>
      <c r="P46" s="152"/>
      <c r="Q46" s="152"/>
      <c r="R46" s="152"/>
      <c r="S46" s="152"/>
      <c r="T46" s="153"/>
    </row>
    <row r="47" ht="13.5" customHeight="1">
      <c r="A47" s="165"/>
      <c r="B47" s="166"/>
      <c r="C47" s="167"/>
      <c r="D47" s="168" t="s">
        <v>2437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 t="s">
        <v>742</v>
      </c>
      <c r="Q47" s="152"/>
      <c r="R47" s="152"/>
      <c r="S47" s="152"/>
      <c r="T47" s="153"/>
    </row>
    <row r="48" ht="13.5" customHeight="1">
      <c r="A48" s="165"/>
      <c r="B48" s="166" t="s">
        <v>854</v>
      </c>
      <c r="C48" s="167"/>
      <c r="D48" s="168"/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3"/>
    </row>
    <row r="49" ht="13.5" customHeight="1">
      <c r="A49" s="165"/>
      <c r="B49" s="170"/>
      <c r="C49" s="171"/>
      <c r="D49" s="172"/>
      <c r="E49" s="173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5"/>
    </row>
    <row r="50" ht="13.5" customHeight="1">
      <c r="A50" s="160" t="s">
        <v>865</v>
      </c>
      <c r="B50" s="176" t="s">
        <v>866</v>
      </c>
      <c r="C50" s="177"/>
      <c r="D50" s="178"/>
      <c r="E50" s="179"/>
      <c r="F50" s="180" t="s">
        <v>54</v>
      </c>
      <c r="G50" s="180" t="s">
        <v>54</v>
      </c>
      <c r="H50" s="180" t="s">
        <v>55</v>
      </c>
      <c r="I50" s="180" t="s">
        <v>54</v>
      </c>
      <c r="J50" s="180" t="s">
        <v>54</v>
      </c>
      <c r="K50" s="180" t="s">
        <v>54</v>
      </c>
      <c r="L50" s="180" t="s">
        <v>57</v>
      </c>
      <c r="M50" s="180" t="s">
        <v>55</v>
      </c>
      <c r="N50" s="180" t="s">
        <v>55</v>
      </c>
      <c r="O50" s="180" t="s">
        <v>54</v>
      </c>
      <c r="P50" s="180" t="s">
        <v>55</v>
      </c>
      <c r="Q50" s="180" t="s">
        <v>54</v>
      </c>
      <c r="R50" s="180" t="s">
        <v>54</v>
      </c>
      <c r="S50" s="180"/>
      <c r="T50" s="181"/>
    </row>
    <row r="51" ht="13.5" customHeight="1">
      <c r="A51" s="165"/>
      <c r="B51" s="182" t="s">
        <v>867</v>
      </c>
      <c r="C51" s="27"/>
      <c r="D51" s="25"/>
      <c r="E51" s="183"/>
      <c r="F51" s="184" t="s">
        <v>868</v>
      </c>
      <c r="G51" s="184" t="s">
        <v>868</v>
      </c>
      <c r="H51" s="184" t="s">
        <v>868</v>
      </c>
      <c r="I51" s="184" t="s">
        <v>868</v>
      </c>
      <c r="J51" s="184" t="s">
        <v>868</v>
      </c>
      <c r="K51" s="184" t="s">
        <v>868</v>
      </c>
      <c r="L51" s="184" t="s">
        <v>868</v>
      </c>
      <c r="M51" s="184" t="s">
        <v>868</v>
      </c>
      <c r="N51" s="184" t="s">
        <v>868</v>
      </c>
      <c r="O51" s="184" t="s">
        <v>868</v>
      </c>
      <c r="P51" s="184" t="s">
        <v>868</v>
      </c>
      <c r="Q51" s="184" t="s">
        <v>868</v>
      </c>
      <c r="R51" s="184" t="s">
        <v>868</v>
      </c>
      <c r="S51" s="184"/>
      <c r="T51" s="185"/>
    </row>
    <row r="52" ht="99.75" customHeight="1">
      <c r="A52" s="165"/>
      <c r="B52" s="186" t="s">
        <v>869</v>
      </c>
      <c r="C52" s="27"/>
      <c r="D52" s="25"/>
      <c r="E52" s="169"/>
      <c r="F52" s="187">
        <v>46294.0</v>
      </c>
      <c r="G52" s="187">
        <v>46294.0</v>
      </c>
      <c r="H52" s="187">
        <v>46294.0</v>
      </c>
      <c r="I52" s="187">
        <v>46294.0</v>
      </c>
      <c r="J52" s="187">
        <v>46294.0</v>
      </c>
      <c r="K52" s="187">
        <v>46294.0</v>
      </c>
      <c r="L52" s="187">
        <v>46294.0</v>
      </c>
      <c r="M52" s="187">
        <v>46294.0</v>
      </c>
      <c r="N52" s="187">
        <v>46294.0</v>
      </c>
      <c r="O52" s="187">
        <v>46294.0</v>
      </c>
      <c r="P52" s="187">
        <v>46294.0</v>
      </c>
      <c r="Q52" s="187">
        <v>46294.0</v>
      </c>
      <c r="R52" s="187">
        <v>46294.0</v>
      </c>
      <c r="S52" s="187"/>
      <c r="T52" s="188"/>
    </row>
    <row r="53" ht="72.75" customHeight="1">
      <c r="A53" s="190"/>
      <c r="B53" s="191" t="s">
        <v>870</v>
      </c>
      <c r="C53" s="192"/>
      <c r="D53" s="193"/>
      <c r="E53" s="194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6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50:D50"/>
    <mergeCell ref="B51:D51"/>
    <mergeCell ref="B52:D52"/>
    <mergeCell ref="B53:D53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521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481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331.0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2419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COUNTIF(F53:T53,"P")</f>
        <v>13</v>
      </c>
      <c r="B7" s="130"/>
      <c r="C7" s="131">
        <f>COUNTIF(F53:T53,"F")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COUNTIF(F52:T52,"N")</f>
        <v>9</v>
      </c>
      <c r="M7" s="132">
        <f>COUNTIF(F52:T52,"A")</f>
        <v>3</v>
      </c>
      <c r="N7" s="132">
        <f>COUNTIF(F52:T52,"B")</f>
        <v>1</v>
      </c>
      <c r="O7" s="133">
        <f>COUNTA(F9:T9)</f>
        <v>13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2440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2442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2444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2447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2449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 t="s">
        <v>742</v>
      </c>
      <c r="N15" s="152" t="s">
        <v>742</v>
      </c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2450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2451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2452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 t="s">
        <v>742</v>
      </c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2453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 t="s">
        <v>742</v>
      </c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2455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 t="s">
        <v>742</v>
      </c>
      <c r="R20" s="152"/>
      <c r="S20" s="152"/>
      <c r="T20" s="153"/>
    </row>
    <row r="21" ht="13.5" customHeight="1">
      <c r="A21" s="148"/>
      <c r="B21" s="149"/>
      <c r="C21" s="150"/>
      <c r="D21" s="151" t="s">
        <v>2457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 t="s">
        <v>742</v>
      </c>
      <c r="S21" s="152"/>
      <c r="T21" s="153"/>
    </row>
    <row r="22" ht="13.5" customHeight="1">
      <c r="A22" s="148"/>
      <c r="B22" s="149" t="s">
        <v>768</v>
      </c>
      <c r="C22" s="150"/>
      <c r="D22" s="151"/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2459</v>
      </c>
      <c r="E23" s="145"/>
      <c r="F23" s="152" t="s">
        <v>742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2461</v>
      </c>
      <c r="E24" s="145"/>
      <c r="F24" s="152"/>
      <c r="G24" s="152" t="s">
        <v>742</v>
      </c>
      <c r="H24" s="152" t="s">
        <v>742</v>
      </c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2463</v>
      </c>
      <c r="E25" s="145"/>
      <c r="F25" s="152"/>
      <c r="G25" s="152"/>
      <c r="H25" s="152"/>
      <c r="I25" s="152" t="s">
        <v>742</v>
      </c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2465</v>
      </c>
      <c r="E26" s="145"/>
      <c r="F26" s="152"/>
      <c r="G26" s="152"/>
      <c r="H26" s="152"/>
      <c r="I26" s="152"/>
      <c r="J26" s="152" t="s">
        <v>742</v>
      </c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2467</v>
      </c>
      <c r="E27" s="145"/>
      <c r="F27" s="152"/>
      <c r="G27" s="152"/>
      <c r="H27" s="152"/>
      <c r="I27" s="152"/>
      <c r="J27" s="152"/>
      <c r="K27" s="152" t="s">
        <v>742</v>
      </c>
      <c r="L27" s="152" t="s">
        <v>742</v>
      </c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2469</v>
      </c>
      <c r="E28" s="145"/>
      <c r="F28" s="152"/>
      <c r="G28" s="152"/>
      <c r="H28" s="152"/>
      <c r="I28" s="152"/>
      <c r="J28" s="152"/>
      <c r="K28" s="152"/>
      <c r="L28" s="152"/>
      <c r="M28" s="152" t="s">
        <v>742</v>
      </c>
      <c r="N28" s="152"/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2471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 t="s">
        <v>742</v>
      </c>
      <c r="O29" s="152"/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2472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 t="s">
        <v>742</v>
      </c>
      <c r="P30" s="152"/>
      <c r="Q30" s="152"/>
      <c r="R30" s="152"/>
      <c r="S30" s="152"/>
      <c r="T30" s="153"/>
    </row>
    <row r="31" ht="13.5" customHeight="1">
      <c r="A31" s="148"/>
      <c r="B31" s="149"/>
      <c r="C31" s="150"/>
      <c r="D31" s="151" t="s">
        <v>2473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 t="s">
        <v>742</v>
      </c>
      <c r="Q31" s="152"/>
      <c r="R31" s="152"/>
      <c r="S31" s="152"/>
      <c r="T31" s="153"/>
    </row>
    <row r="32" ht="13.5" customHeight="1">
      <c r="A32" s="148"/>
      <c r="B32" s="149"/>
      <c r="C32" s="150"/>
      <c r="D32" s="151" t="s">
        <v>2474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 t="s">
        <v>742</v>
      </c>
      <c r="R32" s="152"/>
      <c r="S32" s="152"/>
      <c r="T32" s="153"/>
    </row>
    <row r="33" ht="13.5" customHeight="1">
      <c r="A33" s="148"/>
      <c r="B33" s="149"/>
      <c r="C33" s="150"/>
      <c r="D33" s="151" t="s">
        <v>2476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 t="s">
        <v>742</v>
      </c>
      <c r="S33" s="152"/>
      <c r="T33" s="153"/>
    </row>
    <row r="34" ht="13.5" customHeight="1">
      <c r="A34" s="148"/>
      <c r="B34" s="154"/>
      <c r="C34" s="155"/>
      <c r="D34" s="156"/>
      <c r="E34" s="157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9"/>
    </row>
    <row r="35" ht="13.5" customHeight="1">
      <c r="A35" s="160" t="s">
        <v>802</v>
      </c>
      <c r="B35" s="161" t="s">
        <v>804</v>
      </c>
      <c r="C35" s="162"/>
      <c r="D35" s="163"/>
      <c r="E35" s="164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7"/>
    </row>
    <row r="36" ht="13.5" customHeight="1">
      <c r="A36" s="165"/>
      <c r="B36" s="166"/>
      <c r="C36" s="167"/>
      <c r="D36" s="168" t="s">
        <v>2480</v>
      </c>
      <c r="E36" s="169"/>
      <c r="F36" s="152" t="s">
        <v>742</v>
      </c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2482</v>
      </c>
      <c r="E37" s="169"/>
      <c r="F37" s="152"/>
      <c r="G37" s="152" t="s">
        <v>742</v>
      </c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2484</v>
      </c>
      <c r="E38" s="169"/>
      <c r="F38" s="152"/>
      <c r="G38" s="152"/>
      <c r="H38" s="152" t="s">
        <v>742</v>
      </c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2485</v>
      </c>
      <c r="E39" s="169"/>
      <c r="F39" s="152"/>
      <c r="G39" s="152"/>
      <c r="H39" s="152"/>
      <c r="I39" s="152" t="s">
        <v>742</v>
      </c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2487</v>
      </c>
      <c r="E40" s="169"/>
      <c r="F40" s="152"/>
      <c r="G40" s="152"/>
      <c r="H40" s="152"/>
      <c r="I40" s="152"/>
      <c r="J40" s="152" t="s">
        <v>742</v>
      </c>
      <c r="K40" s="152"/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2488</v>
      </c>
      <c r="E41" s="169"/>
      <c r="F41" s="152"/>
      <c r="G41" s="152"/>
      <c r="H41" s="152"/>
      <c r="I41" s="152"/>
      <c r="J41" s="152"/>
      <c r="K41" s="152"/>
      <c r="L41" s="152"/>
      <c r="M41" s="152"/>
      <c r="N41" s="152" t="s">
        <v>742</v>
      </c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2490</v>
      </c>
      <c r="E42" s="169"/>
      <c r="F42" s="152"/>
      <c r="G42" s="152"/>
      <c r="H42" s="152"/>
      <c r="I42" s="152"/>
      <c r="J42" s="152"/>
      <c r="K42" s="152"/>
      <c r="L42" s="152"/>
      <c r="M42" s="152"/>
      <c r="N42" s="152"/>
      <c r="O42" s="152" t="s">
        <v>742</v>
      </c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2491</v>
      </c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 t="s">
        <v>742</v>
      </c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2493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 t="s">
        <v>742</v>
      </c>
      <c r="R44" s="152"/>
      <c r="S44" s="152"/>
      <c r="T44" s="153"/>
    </row>
    <row r="45" ht="13.5" customHeight="1">
      <c r="A45" s="165"/>
      <c r="B45" s="166"/>
      <c r="C45" s="167"/>
      <c r="D45" s="168" t="s">
        <v>2494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 t="s">
        <v>742</v>
      </c>
      <c r="S45" s="152"/>
      <c r="T45" s="153"/>
    </row>
    <row r="46" ht="13.5" customHeight="1">
      <c r="A46" s="165"/>
      <c r="B46" s="166" t="s">
        <v>825</v>
      </c>
      <c r="C46" s="167"/>
      <c r="D46" s="168"/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3"/>
    </row>
    <row r="47" ht="13.5" customHeight="1">
      <c r="A47" s="165"/>
      <c r="B47" s="166"/>
      <c r="C47" s="167"/>
      <c r="D47" s="168" t="s">
        <v>2496</v>
      </c>
      <c r="E47" s="169"/>
      <c r="F47" s="152"/>
      <c r="G47" s="152"/>
      <c r="H47" s="152"/>
      <c r="I47" s="152"/>
      <c r="J47" s="152"/>
      <c r="K47" s="152" t="s">
        <v>742</v>
      </c>
      <c r="L47" s="152"/>
      <c r="M47" s="152"/>
      <c r="N47" s="152"/>
      <c r="O47" s="152"/>
      <c r="P47" s="152"/>
      <c r="Q47" s="152"/>
      <c r="R47" s="152"/>
      <c r="S47" s="152"/>
      <c r="T47" s="153"/>
    </row>
    <row r="48" ht="13.5" customHeight="1">
      <c r="A48" s="165"/>
      <c r="B48" s="166"/>
      <c r="C48" s="167"/>
      <c r="D48" s="168" t="s">
        <v>2498</v>
      </c>
      <c r="E48" s="169"/>
      <c r="F48" s="152"/>
      <c r="G48" s="152"/>
      <c r="H48" s="152"/>
      <c r="I48" s="152"/>
      <c r="J48" s="152"/>
      <c r="K48" s="152"/>
      <c r="L48" s="152" t="s">
        <v>742</v>
      </c>
      <c r="M48" s="152"/>
      <c r="N48" s="152"/>
      <c r="O48" s="152"/>
      <c r="P48" s="152"/>
      <c r="Q48" s="152"/>
      <c r="R48" s="152"/>
      <c r="S48" s="152"/>
      <c r="T48" s="153"/>
    </row>
    <row r="49" ht="13.5" customHeight="1">
      <c r="A49" s="165"/>
      <c r="B49" s="166"/>
      <c r="C49" s="167"/>
      <c r="D49" s="168" t="s">
        <v>2500</v>
      </c>
      <c r="E49" s="169"/>
      <c r="F49" s="152"/>
      <c r="G49" s="152"/>
      <c r="H49" s="152"/>
      <c r="I49" s="152"/>
      <c r="J49" s="152"/>
      <c r="K49" s="152"/>
      <c r="L49" s="152"/>
      <c r="M49" s="152" t="s">
        <v>742</v>
      </c>
      <c r="N49" s="152"/>
      <c r="O49" s="152"/>
      <c r="P49" s="152"/>
      <c r="Q49" s="152"/>
      <c r="R49" s="152"/>
      <c r="S49" s="152"/>
      <c r="T49" s="153"/>
    </row>
    <row r="50" ht="13.5" customHeight="1">
      <c r="A50" s="165"/>
      <c r="B50" s="166" t="s">
        <v>854</v>
      </c>
      <c r="C50" s="167"/>
      <c r="D50" s="168"/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3"/>
    </row>
    <row r="51" ht="13.5" customHeight="1">
      <c r="A51" s="165"/>
      <c r="B51" s="170"/>
      <c r="C51" s="171"/>
      <c r="D51" s="172"/>
      <c r="E51" s="173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5"/>
    </row>
    <row r="52" ht="13.5" customHeight="1">
      <c r="A52" s="160" t="s">
        <v>865</v>
      </c>
      <c r="B52" s="176" t="s">
        <v>866</v>
      </c>
      <c r="C52" s="177"/>
      <c r="D52" s="178"/>
      <c r="E52" s="179"/>
      <c r="F52" s="180" t="s">
        <v>54</v>
      </c>
      <c r="G52" s="180" t="s">
        <v>54</v>
      </c>
      <c r="H52" s="180" t="s">
        <v>54</v>
      </c>
      <c r="I52" s="180" t="s">
        <v>54</v>
      </c>
      <c r="J52" s="180" t="s">
        <v>54</v>
      </c>
      <c r="K52" s="180" t="s">
        <v>55</v>
      </c>
      <c r="L52" s="180" t="s">
        <v>55</v>
      </c>
      <c r="M52" s="180" t="s">
        <v>55</v>
      </c>
      <c r="N52" s="180" t="s">
        <v>57</v>
      </c>
      <c r="O52" s="180" t="s">
        <v>54</v>
      </c>
      <c r="P52" s="180" t="s">
        <v>54</v>
      </c>
      <c r="Q52" s="180" t="s">
        <v>54</v>
      </c>
      <c r="R52" s="180" t="s">
        <v>54</v>
      </c>
      <c r="S52" s="180"/>
      <c r="T52" s="181"/>
    </row>
    <row r="53" ht="13.5" customHeight="1">
      <c r="A53" s="165"/>
      <c r="B53" s="182" t="s">
        <v>867</v>
      </c>
      <c r="C53" s="27"/>
      <c r="D53" s="25"/>
      <c r="E53" s="183"/>
      <c r="F53" s="184" t="s">
        <v>868</v>
      </c>
      <c r="G53" s="184" t="s">
        <v>868</v>
      </c>
      <c r="H53" s="184" t="s">
        <v>868</v>
      </c>
      <c r="I53" s="184" t="s">
        <v>868</v>
      </c>
      <c r="J53" s="184" t="s">
        <v>868</v>
      </c>
      <c r="K53" s="184" t="s">
        <v>868</v>
      </c>
      <c r="L53" s="184" t="s">
        <v>868</v>
      </c>
      <c r="M53" s="184" t="s">
        <v>868</v>
      </c>
      <c r="N53" s="184" t="s">
        <v>868</v>
      </c>
      <c r="O53" s="184" t="s">
        <v>868</v>
      </c>
      <c r="P53" s="184" t="s">
        <v>868</v>
      </c>
      <c r="Q53" s="184" t="s">
        <v>868</v>
      </c>
      <c r="R53" s="184" t="s">
        <v>868</v>
      </c>
      <c r="S53" s="184"/>
      <c r="T53" s="185"/>
    </row>
    <row r="54" ht="99.75" customHeight="1">
      <c r="A54" s="165"/>
      <c r="B54" s="186" t="s">
        <v>869</v>
      </c>
      <c r="C54" s="27"/>
      <c r="D54" s="25"/>
      <c r="E54" s="169"/>
      <c r="F54" s="187">
        <v>46294.0</v>
      </c>
      <c r="G54" s="187">
        <v>46294.0</v>
      </c>
      <c r="H54" s="187">
        <v>46294.0</v>
      </c>
      <c r="I54" s="187">
        <v>46294.0</v>
      </c>
      <c r="J54" s="187">
        <v>46294.0</v>
      </c>
      <c r="K54" s="187">
        <v>46294.0</v>
      </c>
      <c r="L54" s="187">
        <v>46294.0</v>
      </c>
      <c r="M54" s="187">
        <v>46294.0</v>
      </c>
      <c r="N54" s="187">
        <v>46294.0</v>
      </c>
      <c r="O54" s="187">
        <v>46294.0</v>
      </c>
      <c r="P54" s="187">
        <v>46294.0</v>
      </c>
      <c r="Q54" s="187">
        <v>46294.0</v>
      </c>
      <c r="R54" s="187">
        <v>46294.0</v>
      </c>
      <c r="S54" s="187"/>
      <c r="T54" s="188"/>
    </row>
    <row r="55" ht="72.75" customHeight="1">
      <c r="A55" s="190"/>
      <c r="B55" s="191" t="s">
        <v>870</v>
      </c>
      <c r="C55" s="192"/>
      <c r="D55" s="193"/>
      <c r="E55" s="194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6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52:D52"/>
    <mergeCell ref="B53:D53"/>
    <mergeCell ref="B54:D54"/>
    <mergeCell ref="B55:D55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533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486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147.0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2445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COUNTIF(F41:T41,"P")</f>
        <v>10</v>
      </c>
      <c r="B7" s="130"/>
      <c r="C7" s="131">
        <f>COUNTIF(F41:T41,"F")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COUNTIF(F40:T40,"N")</f>
        <v>4</v>
      </c>
      <c r="M7" s="132">
        <f>COUNTIF(F40:T40,"A")</f>
        <v>6</v>
      </c>
      <c r="N7" s="132">
        <f>COUNTIF(F40:T40,"B")</f>
        <v>0</v>
      </c>
      <c r="O7" s="133">
        <f>COUNTA(F9:T9)</f>
        <v>10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2478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2479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2481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2483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2450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2486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 t="s">
        <v>742</v>
      </c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2489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2451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2492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 t="s">
        <v>742</v>
      </c>
      <c r="P19" s="152"/>
      <c r="Q19" s="152"/>
      <c r="R19" s="152"/>
      <c r="S19" s="152"/>
      <c r="T19" s="153"/>
    </row>
    <row r="20" ht="13.5" customHeight="1">
      <c r="A20" s="148"/>
      <c r="B20" s="149" t="s">
        <v>768</v>
      </c>
      <c r="C20" s="150"/>
      <c r="D20" s="151"/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532</v>
      </c>
      <c r="E21" s="145"/>
      <c r="F21" s="152" t="s">
        <v>742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2495</v>
      </c>
      <c r="E22" s="145"/>
      <c r="F22" s="152"/>
      <c r="G22" s="152" t="s">
        <v>742</v>
      </c>
      <c r="H22" s="152"/>
      <c r="I22" s="152" t="s">
        <v>742</v>
      </c>
      <c r="J22" s="152" t="s">
        <v>742</v>
      </c>
      <c r="K22" s="152" t="s">
        <v>742</v>
      </c>
      <c r="L22" s="152" t="s">
        <v>742</v>
      </c>
      <c r="M22" s="152" t="s">
        <v>742</v>
      </c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2497</v>
      </c>
      <c r="E23" s="145"/>
      <c r="F23" s="152"/>
      <c r="G23" s="152"/>
      <c r="H23" s="152" t="s">
        <v>742</v>
      </c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2499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 t="s">
        <v>742</v>
      </c>
      <c r="O24" s="152" t="s">
        <v>742</v>
      </c>
      <c r="P24" s="152"/>
      <c r="Q24" s="152"/>
      <c r="R24" s="152"/>
      <c r="S24" s="152"/>
      <c r="T24" s="153"/>
    </row>
    <row r="25" ht="13.5" customHeight="1">
      <c r="A25" s="148"/>
      <c r="B25" s="154"/>
      <c r="C25" s="155"/>
      <c r="D25" s="156"/>
      <c r="E25" s="157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9"/>
    </row>
    <row r="26" ht="13.5" customHeight="1">
      <c r="A26" s="160" t="s">
        <v>802</v>
      </c>
      <c r="B26" s="161" t="s">
        <v>804</v>
      </c>
      <c r="C26" s="162"/>
      <c r="D26" s="163"/>
      <c r="E26" s="164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7"/>
    </row>
    <row r="27" ht="13.5" customHeight="1">
      <c r="A27" s="165"/>
      <c r="B27" s="166"/>
      <c r="C27" s="167"/>
      <c r="D27" s="168" t="s">
        <v>2501</v>
      </c>
      <c r="E27" s="169"/>
      <c r="F27" s="152" t="s">
        <v>742</v>
      </c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65"/>
      <c r="B28" s="166"/>
      <c r="C28" s="167"/>
      <c r="D28" s="168" t="s">
        <v>2502</v>
      </c>
      <c r="E28" s="169"/>
      <c r="F28" s="152"/>
      <c r="G28" s="152" t="s">
        <v>742</v>
      </c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66"/>
      <c r="C29" s="167"/>
      <c r="D29" s="168" t="s">
        <v>2503</v>
      </c>
      <c r="E29" s="169"/>
      <c r="F29" s="152"/>
      <c r="G29" s="152"/>
      <c r="H29" s="152" t="s">
        <v>742</v>
      </c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/>
      <c r="C30" s="167"/>
      <c r="D30" s="168" t="s">
        <v>2504</v>
      </c>
      <c r="E30" s="169"/>
      <c r="F30" s="152"/>
      <c r="G30" s="152"/>
      <c r="H30" s="152"/>
      <c r="I30" s="152"/>
      <c r="J30" s="152"/>
      <c r="K30" s="152"/>
      <c r="L30" s="152"/>
      <c r="M30" s="152"/>
      <c r="N30" s="152" t="s">
        <v>742</v>
      </c>
      <c r="O30" s="152"/>
      <c r="P30" s="152"/>
      <c r="Q30" s="152"/>
      <c r="R30" s="152"/>
      <c r="S30" s="152"/>
      <c r="T30" s="153"/>
    </row>
    <row r="31" ht="13.5" customHeight="1">
      <c r="A31" s="165"/>
      <c r="B31" s="166" t="s">
        <v>825</v>
      </c>
      <c r="C31" s="167"/>
      <c r="D31" s="168"/>
      <c r="E31" s="169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/>
      <c r="C32" s="167"/>
      <c r="D32" s="168" t="s">
        <v>2505</v>
      </c>
      <c r="E32" s="169"/>
      <c r="F32" s="152"/>
      <c r="G32" s="152"/>
      <c r="H32" s="152"/>
      <c r="I32" s="152" t="s">
        <v>742</v>
      </c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2506</v>
      </c>
      <c r="E33" s="169"/>
      <c r="F33" s="152"/>
      <c r="G33" s="152"/>
      <c r="H33" s="152"/>
      <c r="I33" s="152"/>
      <c r="J33" s="152" t="s">
        <v>742</v>
      </c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2507</v>
      </c>
      <c r="E34" s="169"/>
      <c r="F34" s="152"/>
      <c r="G34" s="152"/>
      <c r="H34" s="152"/>
      <c r="I34" s="152"/>
      <c r="J34" s="152"/>
      <c r="K34" s="152" t="s">
        <v>742</v>
      </c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2508</v>
      </c>
      <c r="E35" s="169"/>
      <c r="F35" s="152"/>
      <c r="G35" s="152"/>
      <c r="H35" s="152"/>
      <c r="I35" s="152"/>
      <c r="J35" s="152"/>
      <c r="K35" s="152"/>
      <c r="L35" s="152" t="s">
        <v>742</v>
      </c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2509</v>
      </c>
      <c r="E36" s="169"/>
      <c r="F36" s="152"/>
      <c r="G36" s="152"/>
      <c r="H36" s="152"/>
      <c r="I36" s="152"/>
      <c r="J36" s="152"/>
      <c r="K36" s="152"/>
      <c r="L36" s="152"/>
      <c r="M36" s="152" t="s">
        <v>742</v>
      </c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2510</v>
      </c>
      <c r="E37" s="169"/>
      <c r="F37" s="152"/>
      <c r="G37" s="152"/>
      <c r="H37" s="152"/>
      <c r="I37" s="152"/>
      <c r="J37" s="152"/>
      <c r="K37" s="152"/>
      <c r="L37" s="152"/>
      <c r="M37" s="152"/>
      <c r="N37" s="152"/>
      <c r="O37" s="152" t="s">
        <v>742</v>
      </c>
      <c r="P37" s="152"/>
      <c r="Q37" s="152"/>
      <c r="R37" s="152"/>
      <c r="S37" s="152"/>
      <c r="T37" s="153"/>
    </row>
    <row r="38" ht="13.5" customHeight="1">
      <c r="A38" s="165"/>
      <c r="B38" s="166" t="s">
        <v>854</v>
      </c>
      <c r="C38" s="167"/>
      <c r="D38" s="168"/>
      <c r="E38" s="169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70"/>
      <c r="C39" s="171"/>
      <c r="D39" s="172"/>
      <c r="E39" s="173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5"/>
    </row>
    <row r="40" ht="13.5" customHeight="1">
      <c r="A40" s="160" t="s">
        <v>865</v>
      </c>
      <c r="B40" s="176" t="s">
        <v>866</v>
      </c>
      <c r="C40" s="177"/>
      <c r="D40" s="178"/>
      <c r="E40" s="179"/>
      <c r="F40" s="180" t="s">
        <v>54</v>
      </c>
      <c r="G40" s="180" t="s">
        <v>54</v>
      </c>
      <c r="H40" s="180" t="s">
        <v>54</v>
      </c>
      <c r="I40" s="180" t="s">
        <v>55</v>
      </c>
      <c r="J40" s="180" t="s">
        <v>55</v>
      </c>
      <c r="K40" s="180" t="s">
        <v>55</v>
      </c>
      <c r="L40" s="180" t="s">
        <v>55</v>
      </c>
      <c r="M40" s="180" t="s">
        <v>55</v>
      </c>
      <c r="N40" s="180" t="s">
        <v>54</v>
      </c>
      <c r="O40" s="180" t="s">
        <v>55</v>
      </c>
      <c r="P40" s="180"/>
      <c r="Q40" s="180"/>
      <c r="R40" s="180"/>
      <c r="S40" s="180"/>
      <c r="T40" s="181"/>
    </row>
    <row r="41" ht="13.5" customHeight="1">
      <c r="A41" s="165"/>
      <c r="B41" s="182" t="s">
        <v>867</v>
      </c>
      <c r="C41" s="27"/>
      <c r="D41" s="25"/>
      <c r="E41" s="183"/>
      <c r="F41" s="184" t="s">
        <v>868</v>
      </c>
      <c r="G41" s="184" t="s">
        <v>868</v>
      </c>
      <c r="H41" s="184" t="s">
        <v>868</v>
      </c>
      <c r="I41" s="184" t="s">
        <v>868</v>
      </c>
      <c r="J41" s="184" t="s">
        <v>868</v>
      </c>
      <c r="K41" s="184" t="s">
        <v>868</v>
      </c>
      <c r="L41" s="184" t="s">
        <v>868</v>
      </c>
      <c r="M41" s="184" t="s">
        <v>868</v>
      </c>
      <c r="N41" s="184" t="s">
        <v>868</v>
      </c>
      <c r="O41" s="184" t="s">
        <v>868</v>
      </c>
      <c r="P41" s="184"/>
      <c r="Q41" s="184"/>
      <c r="R41" s="184"/>
      <c r="S41" s="184"/>
      <c r="T41" s="185"/>
    </row>
    <row r="42" ht="99.75" customHeight="1">
      <c r="A42" s="165"/>
      <c r="B42" s="186" t="s">
        <v>869</v>
      </c>
      <c r="C42" s="27"/>
      <c r="D42" s="25"/>
      <c r="E42" s="169"/>
      <c r="F42" s="187">
        <v>46297.0</v>
      </c>
      <c r="G42" s="187">
        <v>46297.0</v>
      </c>
      <c r="H42" s="187">
        <v>46297.0</v>
      </c>
      <c r="I42" s="187">
        <v>46297.0</v>
      </c>
      <c r="J42" s="187">
        <v>46297.0</v>
      </c>
      <c r="K42" s="187">
        <v>46297.0</v>
      </c>
      <c r="L42" s="187">
        <v>46297.0</v>
      </c>
      <c r="M42" s="187">
        <v>46297.0</v>
      </c>
      <c r="N42" s="187">
        <v>46297.0</v>
      </c>
      <c r="O42" s="187">
        <v>46297.0</v>
      </c>
      <c r="P42" s="187"/>
      <c r="Q42" s="187"/>
      <c r="R42" s="187"/>
      <c r="S42" s="187"/>
      <c r="T42" s="188"/>
    </row>
    <row r="43" ht="72.75" customHeight="1">
      <c r="A43" s="190"/>
      <c r="B43" s="191" t="s">
        <v>870</v>
      </c>
      <c r="C43" s="192"/>
      <c r="D43" s="193"/>
      <c r="E43" s="194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6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0:D40"/>
    <mergeCell ref="B41:D41"/>
    <mergeCell ref="B42:D42"/>
    <mergeCell ref="B43:D43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543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493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241.0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2511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COUNTIF(F45:T45,"P")</f>
        <v>13</v>
      </c>
      <c r="B7" s="130"/>
      <c r="C7" s="131">
        <f>COUNTIF(F45:T45,"F")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COUNTIF(F44:T44,"N")</f>
        <v>10</v>
      </c>
      <c r="M7" s="132">
        <f>COUNTIF(F44:T44,"A")</f>
        <v>1</v>
      </c>
      <c r="N7" s="132">
        <f>COUNTIF(F44:T44,"B")</f>
        <v>2</v>
      </c>
      <c r="O7" s="133">
        <f>COUNTA(F9:T9)</f>
        <v>13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2514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2515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2516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2517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2518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2450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2519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2520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2522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2523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 t="s">
        <v>742</v>
      </c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2525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 t="s">
        <v>742</v>
      </c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2528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 t="s">
        <v>742</v>
      </c>
      <c r="R22" s="152"/>
      <c r="S22" s="152"/>
      <c r="T22" s="153"/>
    </row>
    <row r="23" ht="13.5" customHeight="1">
      <c r="A23" s="148"/>
      <c r="B23" s="149"/>
      <c r="C23" s="150"/>
      <c r="D23" s="151" t="s">
        <v>2451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 t="s">
        <v>742</v>
      </c>
      <c r="S23" s="152"/>
      <c r="T23" s="153"/>
    </row>
    <row r="24" ht="13.5" customHeight="1">
      <c r="A24" s="148"/>
      <c r="B24" s="149" t="s">
        <v>768</v>
      </c>
      <c r="C24" s="150"/>
      <c r="D24" s="151"/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2534</v>
      </c>
      <c r="E25" s="145"/>
      <c r="F25" s="152" t="s">
        <v>742</v>
      </c>
      <c r="G25" s="152" t="s">
        <v>742</v>
      </c>
      <c r="H25" s="152" t="s">
        <v>742</v>
      </c>
      <c r="I25" s="152" t="s">
        <v>742</v>
      </c>
      <c r="J25" s="152" t="s">
        <v>742</v>
      </c>
      <c r="K25" s="152" t="s">
        <v>742</v>
      </c>
      <c r="L25" s="152" t="s">
        <v>742</v>
      </c>
      <c r="M25" s="152" t="s">
        <v>742</v>
      </c>
      <c r="N25" s="152" t="s">
        <v>742</v>
      </c>
      <c r="O25" s="152" t="s">
        <v>742</v>
      </c>
      <c r="P25" s="152" t="s">
        <v>742</v>
      </c>
      <c r="Q25" s="152" t="s">
        <v>742</v>
      </c>
      <c r="R25" s="152" t="s">
        <v>742</v>
      </c>
      <c r="S25" s="152"/>
      <c r="T25" s="153"/>
    </row>
    <row r="26" ht="13.5" customHeight="1">
      <c r="A26" s="148"/>
      <c r="B26" s="154"/>
      <c r="C26" s="155"/>
      <c r="D26" s="156"/>
      <c r="E26" s="157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9"/>
    </row>
    <row r="27" ht="13.5" customHeight="1">
      <c r="A27" s="160" t="s">
        <v>802</v>
      </c>
      <c r="B27" s="161" t="s">
        <v>804</v>
      </c>
      <c r="C27" s="162"/>
      <c r="D27" s="163"/>
      <c r="E27" s="164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7"/>
    </row>
    <row r="28" ht="13.5" customHeight="1">
      <c r="A28" s="165"/>
      <c r="B28" s="166"/>
      <c r="C28" s="167"/>
      <c r="D28" s="168" t="s">
        <v>2544</v>
      </c>
      <c r="E28" s="169"/>
      <c r="F28" s="152" t="s">
        <v>742</v>
      </c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65"/>
      <c r="B29" s="166"/>
      <c r="C29" s="167"/>
      <c r="D29" s="168" t="s">
        <v>2548</v>
      </c>
      <c r="E29" s="169"/>
      <c r="F29" s="152"/>
      <c r="G29" s="152" t="s">
        <v>742</v>
      </c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/>
      <c r="C30" s="167"/>
      <c r="D30" s="168" t="s">
        <v>2550</v>
      </c>
      <c r="E30" s="169"/>
      <c r="F30" s="152"/>
      <c r="G30" s="152"/>
      <c r="H30" s="152" t="s">
        <v>742</v>
      </c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65"/>
      <c r="B31" s="166"/>
      <c r="C31" s="167"/>
      <c r="D31" s="168" t="s">
        <v>2553</v>
      </c>
      <c r="E31" s="169"/>
      <c r="F31" s="152"/>
      <c r="G31" s="152"/>
      <c r="H31" s="152"/>
      <c r="I31" s="152" t="s">
        <v>742</v>
      </c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/>
      <c r="C32" s="167"/>
      <c r="D32" s="168" t="s">
        <v>2555</v>
      </c>
      <c r="E32" s="169"/>
      <c r="F32" s="152"/>
      <c r="G32" s="152"/>
      <c r="H32" s="152"/>
      <c r="I32" s="152"/>
      <c r="J32" s="152" t="s">
        <v>742</v>
      </c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2557</v>
      </c>
      <c r="E33" s="169"/>
      <c r="F33" s="152"/>
      <c r="G33" s="152"/>
      <c r="H33" s="152"/>
      <c r="I33" s="152"/>
      <c r="J33" s="152"/>
      <c r="K33" s="152" t="s">
        <v>742</v>
      </c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2559</v>
      </c>
      <c r="E34" s="169"/>
      <c r="F34" s="152"/>
      <c r="G34" s="152"/>
      <c r="H34" s="152"/>
      <c r="I34" s="152"/>
      <c r="J34" s="152"/>
      <c r="K34" s="152"/>
      <c r="L34" s="152" t="s">
        <v>742</v>
      </c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2561</v>
      </c>
      <c r="E35" s="169"/>
      <c r="F35" s="152"/>
      <c r="G35" s="152"/>
      <c r="H35" s="152"/>
      <c r="I35" s="152"/>
      <c r="J35" s="152"/>
      <c r="K35" s="152"/>
      <c r="L35" s="152"/>
      <c r="M35" s="152" t="s">
        <v>742</v>
      </c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2564</v>
      </c>
      <c r="E36" s="169"/>
      <c r="F36" s="152"/>
      <c r="G36" s="152"/>
      <c r="H36" s="152"/>
      <c r="I36" s="152"/>
      <c r="J36" s="152"/>
      <c r="K36" s="152"/>
      <c r="L36" s="152"/>
      <c r="M36" s="152"/>
      <c r="N36" s="152" t="s">
        <v>742</v>
      </c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2567</v>
      </c>
      <c r="E37" s="169"/>
      <c r="F37" s="152"/>
      <c r="G37" s="152"/>
      <c r="H37" s="152"/>
      <c r="I37" s="152"/>
      <c r="J37" s="152"/>
      <c r="K37" s="152"/>
      <c r="L37" s="152"/>
      <c r="M37" s="152"/>
      <c r="N37" s="152"/>
      <c r="O37" s="152" t="s">
        <v>742</v>
      </c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2569</v>
      </c>
      <c r="E38" s="169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 t="s">
        <v>742</v>
      </c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2571</v>
      </c>
      <c r="E39" s="169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 t="s">
        <v>742</v>
      </c>
      <c r="R39" s="152"/>
      <c r="S39" s="152"/>
      <c r="T39" s="153"/>
    </row>
    <row r="40" ht="13.5" customHeight="1">
      <c r="A40" s="165"/>
      <c r="B40" s="166" t="s">
        <v>825</v>
      </c>
      <c r="C40" s="167"/>
      <c r="D40" s="168"/>
      <c r="E40" s="169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2498</v>
      </c>
      <c r="E41" s="169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 t="s">
        <v>742</v>
      </c>
      <c r="S41" s="152"/>
      <c r="T41" s="153"/>
    </row>
    <row r="42" ht="13.5" customHeight="1">
      <c r="A42" s="165"/>
      <c r="B42" s="166" t="s">
        <v>854</v>
      </c>
      <c r="C42" s="167"/>
      <c r="D42" s="168"/>
      <c r="E42" s="169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70"/>
      <c r="C43" s="171"/>
      <c r="D43" s="172"/>
      <c r="E43" s="173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5"/>
    </row>
    <row r="44" ht="13.5" customHeight="1">
      <c r="A44" s="160" t="s">
        <v>865</v>
      </c>
      <c r="B44" s="176" t="s">
        <v>866</v>
      </c>
      <c r="C44" s="177"/>
      <c r="D44" s="178"/>
      <c r="E44" s="179"/>
      <c r="F44" s="180" t="s">
        <v>54</v>
      </c>
      <c r="G44" s="180" t="s">
        <v>54</v>
      </c>
      <c r="H44" s="180" t="s">
        <v>54</v>
      </c>
      <c r="I44" s="180" t="s">
        <v>54</v>
      </c>
      <c r="J44" s="180" t="s">
        <v>54</v>
      </c>
      <c r="K44" s="180" t="s">
        <v>54</v>
      </c>
      <c r="L44" s="180" t="s">
        <v>54</v>
      </c>
      <c r="M44" s="180" t="s">
        <v>54</v>
      </c>
      <c r="N44" s="180" t="s">
        <v>54</v>
      </c>
      <c r="O44" s="180" t="s">
        <v>57</v>
      </c>
      <c r="P44" s="180" t="s">
        <v>54</v>
      </c>
      <c r="Q44" s="180" t="s">
        <v>57</v>
      </c>
      <c r="R44" s="180" t="s">
        <v>55</v>
      </c>
      <c r="S44" s="180"/>
      <c r="T44" s="181"/>
    </row>
    <row r="45" ht="13.5" customHeight="1">
      <c r="A45" s="165"/>
      <c r="B45" s="182" t="s">
        <v>867</v>
      </c>
      <c r="C45" s="27"/>
      <c r="D45" s="25"/>
      <c r="E45" s="183"/>
      <c r="F45" s="184" t="s">
        <v>868</v>
      </c>
      <c r="G45" s="184" t="s">
        <v>868</v>
      </c>
      <c r="H45" s="184" t="s">
        <v>868</v>
      </c>
      <c r="I45" s="184" t="s">
        <v>868</v>
      </c>
      <c r="J45" s="184" t="s">
        <v>868</v>
      </c>
      <c r="K45" s="184" t="s">
        <v>868</v>
      </c>
      <c r="L45" s="184" t="s">
        <v>868</v>
      </c>
      <c r="M45" s="184" t="s">
        <v>868</v>
      </c>
      <c r="N45" s="184" t="s">
        <v>868</v>
      </c>
      <c r="O45" s="184" t="s">
        <v>868</v>
      </c>
      <c r="P45" s="184" t="s">
        <v>868</v>
      </c>
      <c r="Q45" s="184" t="s">
        <v>868</v>
      </c>
      <c r="R45" s="184" t="s">
        <v>868</v>
      </c>
      <c r="S45" s="184"/>
      <c r="T45" s="185"/>
    </row>
    <row r="46" ht="99.75" customHeight="1">
      <c r="A46" s="165"/>
      <c r="B46" s="186" t="s">
        <v>869</v>
      </c>
      <c r="C46" s="27"/>
      <c r="D46" s="25"/>
      <c r="E46" s="169"/>
      <c r="F46" s="187">
        <v>46300.0</v>
      </c>
      <c r="G46" s="187">
        <v>46300.0</v>
      </c>
      <c r="H46" s="187">
        <v>46300.0</v>
      </c>
      <c r="I46" s="187">
        <v>46300.0</v>
      </c>
      <c r="J46" s="187">
        <v>46300.0</v>
      </c>
      <c r="K46" s="187">
        <v>46300.0</v>
      </c>
      <c r="L46" s="187">
        <v>46300.0</v>
      </c>
      <c r="M46" s="187">
        <v>46300.0</v>
      </c>
      <c r="N46" s="187">
        <v>46300.0</v>
      </c>
      <c r="O46" s="187">
        <v>46300.0</v>
      </c>
      <c r="P46" s="187">
        <v>46300.0</v>
      </c>
      <c r="Q46" s="187">
        <v>46300.0</v>
      </c>
      <c r="R46" s="187">
        <v>46300.0</v>
      </c>
      <c r="S46" s="187"/>
      <c r="T46" s="188"/>
    </row>
    <row r="47" ht="72.75" customHeight="1">
      <c r="A47" s="190"/>
      <c r="B47" s="191" t="s">
        <v>870</v>
      </c>
      <c r="C47" s="192"/>
      <c r="D47" s="193"/>
      <c r="E47" s="194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6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4:D44"/>
    <mergeCell ref="B45:D45"/>
    <mergeCell ref="B46:D46"/>
    <mergeCell ref="B47:D47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547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499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373.0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2512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COUNTIF(F52:T52,"P")</f>
        <v>13</v>
      </c>
      <c r="B7" s="130"/>
      <c r="C7" s="131">
        <f>COUNTIF(F52:T52,"F")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COUNTIF(F51:T51,"N")</f>
        <v>6</v>
      </c>
      <c r="M7" s="132">
        <f>COUNTIF(F51:T51,"A")</f>
        <v>6</v>
      </c>
      <c r="N7" s="132">
        <f>COUNTIF(F51:T51,"B")</f>
        <v>1</v>
      </c>
      <c r="O7" s="133">
        <f>COUNTA(F9:T9)</f>
        <v>13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2521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2524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2527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 t="s">
        <v>742</v>
      </c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2529</v>
      </c>
      <c r="E14" s="145"/>
      <c r="F14" s="152"/>
      <c r="G14" s="152"/>
      <c r="H14" s="152"/>
      <c r="I14" s="152" t="s">
        <v>742</v>
      </c>
      <c r="J14" s="152" t="s">
        <v>742</v>
      </c>
      <c r="K14" s="152"/>
      <c r="L14" s="152" t="s">
        <v>742</v>
      </c>
      <c r="M14" s="152" t="s">
        <v>742</v>
      </c>
      <c r="N14" s="152" t="s">
        <v>742</v>
      </c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2531</v>
      </c>
      <c r="E15" s="145"/>
      <c r="F15" s="152"/>
      <c r="G15" s="152"/>
      <c r="H15" s="152"/>
      <c r="I15" s="152"/>
      <c r="J15" s="152"/>
      <c r="K15" s="152" t="s">
        <v>742</v>
      </c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2533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 t="s">
        <v>742</v>
      </c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2536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 t="s">
        <v>742</v>
      </c>
      <c r="R17" s="152"/>
      <c r="S17" s="152"/>
      <c r="T17" s="153"/>
    </row>
    <row r="18" ht="13.5" customHeight="1">
      <c r="A18" s="148"/>
      <c r="B18" s="149"/>
      <c r="C18" s="150"/>
      <c r="D18" s="151" t="s">
        <v>2539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 t="s">
        <v>742</v>
      </c>
      <c r="S18" s="152"/>
      <c r="T18" s="153"/>
    </row>
    <row r="19" ht="13.5" customHeight="1">
      <c r="A19" s="148"/>
      <c r="B19" s="149" t="s">
        <v>768</v>
      </c>
      <c r="C19" s="150"/>
      <c r="D19" s="151"/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2542</v>
      </c>
      <c r="E20" s="145"/>
      <c r="F20" s="152" t="s">
        <v>742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2545</v>
      </c>
      <c r="E21" s="145"/>
      <c r="F21" s="152"/>
      <c r="G21" s="152" t="s">
        <v>742</v>
      </c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2547</v>
      </c>
      <c r="E22" s="145"/>
      <c r="F22" s="152"/>
      <c r="G22" s="152"/>
      <c r="H22" s="152" t="s">
        <v>742</v>
      </c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2551</v>
      </c>
      <c r="E23" s="145"/>
      <c r="F23" s="152"/>
      <c r="G23" s="152"/>
      <c r="H23" s="152"/>
      <c r="I23" s="152" t="s">
        <v>742</v>
      </c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2554</v>
      </c>
      <c r="E24" s="145"/>
      <c r="F24" s="152"/>
      <c r="G24" s="152"/>
      <c r="H24" s="152"/>
      <c r="I24" s="152"/>
      <c r="J24" s="152" t="s">
        <v>742</v>
      </c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2556</v>
      </c>
      <c r="E25" s="145"/>
      <c r="F25" s="152"/>
      <c r="G25" s="152"/>
      <c r="H25" s="152"/>
      <c r="I25" s="152"/>
      <c r="J25" s="152"/>
      <c r="K25" s="152" t="s">
        <v>742</v>
      </c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2563</v>
      </c>
      <c r="E26" s="145"/>
      <c r="F26" s="152"/>
      <c r="G26" s="152"/>
      <c r="H26" s="152"/>
      <c r="I26" s="152"/>
      <c r="J26" s="152"/>
      <c r="K26" s="152"/>
      <c r="L26" s="152" t="s">
        <v>742</v>
      </c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2566</v>
      </c>
      <c r="E27" s="145"/>
      <c r="F27" s="152"/>
      <c r="G27" s="152"/>
      <c r="H27" s="152"/>
      <c r="I27" s="152"/>
      <c r="J27" s="152"/>
      <c r="K27" s="152"/>
      <c r="L27" s="152"/>
      <c r="M27" s="152" t="s">
        <v>742</v>
      </c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1488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 t="s">
        <v>742</v>
      </c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2573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 t="s">
        <v>742</v>
      </c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2575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 t="s">
        <v>742</v>
      </c>
      <c r="Q30" s="152"/>
      <c r="R30" s="152"/>
      <c r="S30" s="152"/>
      <c r="T30" s="153"/>
    </row>
    <row r="31" ht="13.5" customHeight="1">
      <c r="A31" s="148"/>
      <c r="B31" s="149"/>
      <c r="C31" s="150"/>
      <c r="D31" s="151" t="s">
        <v>2577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 t="s">
        <v>742</v>
      </c>
      <c r="R31" s="152"/>
      <c r="S31" s="152"/>
      <c r="T31" s="153"/>
    </row>
    <row r="32" ht="13.5" customHeight="1">
      <c r="A32" s="148"/>
      <c r="B32" s="149"/>
      <c r="C32" s="150"/>
      <c r="D32" s="151" t="s">
        <v>2580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 t="s">
        <v>742</v>
      </c>
      <c r="S32" s="152"/>
      <c r="T32" s="153"/>
    </row>
    <row r="33" ht="13.5" customHeight="1">
      <c r="A33" s="148"/>
      <c r="B33" s="154"/>
      <c r="C33" s="155"/>
      <c r="D33" s="156"/>
      <c r="E33" s="157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9"/>
    </row>
    <row r="34" ht="13.5" customHeight="1">
      <c r="A34" s="160" t="s">
        <v>802</v>
      </c>
      <c r="B34" s="161" t="s">
        <v>804</v>
      </c>
      <c r="C34" s="162"/>
      <c r="D34" s="163"/>
      <c r="E34" s="164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7"/>
    </row>
    <row r="35" ht="13.5" customHeight="1">
      <c r="A35" s="165"/>
      <c r="B35" s="166"/>
      <c r="C35" s="167"/>
      <c r="D35" s="168" t="s">
        <v>2590</v>
      </c>
      <c r="E35" s="169"/>
      <c r="F35" s="152" t="s">
        <v>742</v>
      </c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2592</v>
      </c>
      <c r="E36" s="169"/>
      <c r="F36" s="152"/>
      <c r="G36" s="152" t="s">
        <v>742</v>
      </c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2594</v>
      </c>
      <c r="E37" s="169"/>
      <c r="F37" s="152"/>
      <c r="G37" s="152"/>
      <c r="H37" s="152"/>
      <c r="I37" s="152" t="s">
        <v>742</v>
      </c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2596</v>
      </c>
      <c r="E38" s="169"/>
      <c r="F38" s="152"/>
      <c r="G38" s="152"/>
      <c r="H38" s="152"/>
      <c r="I38" s="152"/>
      <c r="J38" s="152" t="s">
        <v>742</v>
      </c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2599</v>
      </c>
      <c r="E39" s="169"/>
      <c r="F39" s="152"/>
      <c r="G39" s="152"/>
      <c r="H39" s="152"/>
      <c r="I39" s="152"/>
      <c r="J39" s="152"/>
      <c r="K39" s="152" t="s">
        <v>742</v>
      </c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2602</v>
      </c>
      <c r="E40" s="169"/>
      <c r="F40" s="152"/>
      <c r="G40" s="152"/>
      <c r="H40" s="152"/>
      <c r="I40" s="152"/>
      <c r="J40" s="152"/>
      <c r="K40" s="152"/>
      <c r="L40" s="152" t="s">
        <v>742</v>
      </c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2605</v>
      </c>
      <c r="E41" s="169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 t="s">
        <v>742</v>
      </c>
      <c r="Q41" s="152"/>
      <c r="R41" s="152"/>
      <c r="S41" s="152"/>
      <c r="T41" s="153"/>
    </row>
    <row r="42" ht="13.5" customHeight="1">
      <c r="A42" s="165"/>
      <c r="B42" s="166" t="s">
        <v>825</v>
      </c>
      <c r="C42" s="167"/>
      <c r="D42" s="168"/>
      <c r="E42" s="169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2608</v>
      </c>
      <c r="E43" s="169"/>
      <c r="F43" s="152"/>
      <c r="G43" s="152"/>
      <c r="H43" s="152" t="s">
        <v>742</v>
      </c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2610</v>
      </c>
      <c r="E44" s="169"/>
      <c r="F44" s="152"/>
      <c r="G44" s="152"/>
      <c r="H44" s="152"/>
      <c r="I44" s="152"/>
      <c r="J44" s="152"/>
      <c r="K44" s="152"/>
      <c r="L44" s="152"/>
      <c r="M44" s="152" t="s">
        <v>742</v>
      </c>
      <c r="N44" s="152"/>
      <c r="O44" s="152"/>
      <c r="P44" s="152"/>
      <c r="Q44" s="152"/>
      <c r="R44" s="152"/>
      <c r="S44" s="152"/>
      <c r="T44" s="153"/>
    </row>
    <row r="45" ht="13.5" customHeight="1">
      <c r="A45" s="165"/>
      <c r="B45" s="166"/>
      <c r="C45" s="167"/>
      <c r="D45" s="168" t="s">
        <v>2613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 t="s">
        <v>742</v>
      </c>
      <c r="O45" s="152"/>
      <c r="P45" s="152"/>
      <c r="Q45" s="152"/>
      <c r="R45" s="152"/>
      <c r="S45" s="152"/>
      <c r="T45" s="153"/>
    </row>
    <row r="46" ht="13.5" customHeight="1">
      <c r="A46" s="165"/>
      <c r="B46" s="166"/>
      <c r="C46" s="167"/>
      <c r="D46" s="168" t="s">
        <v>2617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 t="s">
        <v>742</v>
      </c>
      <c r="P46" s="152"/>
      <c r="Q46" s="152"/>
      <c r="R46" s="152"/>
      <c r="S46" s="152"/>
      <c r="T46" s="153"/>
    </row>
    <row r="47" ht="13.5" customHeight="1">
      <c r="A47" s="165"/>
      <c r="B47" s="166"/>
      <c r="C47" s="167"/>
      <c r="D47" s="168" t="s">
        <v>2620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 t="s">
        <v>742</v>
      </c>
      <c r="R47" s="152"/>
      <c r="S47" s="152"/>
      <c r="T47" s="153"/>
    </row>
    <row r="48" ht="13.5" customHeight="1">
      <c r="A48" s="165"/>
      <c r="B48" s="166"/>
      <c r="C48" s="167"/>
      <c r="D48" s="168" t="s">
        <v>2622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 t="s">
        <v>742</v>
      </c>
      <c r="S48" s="152"/>
      <c r="T48" s="153"/>
    </row>
    <row r="49" ht="13.5" customHeight="1">
      <c r="A49" s="165"/>
      <c r="B49" s="166" t="s">
        <v>854</v>
      </c>
      <c r="C49" s="167"/>
      <c r="D49" s="168"/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3"/>
    </row>
    <row r="50" ht="13.5" customHeight="1">
      <c r="A50" s="165"/>
      <c r="B50" s="170"/>
      <c r="C50" s="171"/>
      <c r="D50" s="172"/>
      <c r="E50" s="173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5"/>
    </row>
    <row r="51" ht="13.5" customHeight="1">
      <c r="A51" s="160" t="s">
        <v>865</v>
      </c>
      <c r="B51" s="176" t="s">
        <v>866</v>
      </c>
      <c r="C51" s="177"/>
      <c r="D51" s="178"/>
      <c r="E51" s="179"/>
      <c r="F51" s="180" t="s">
        <v>54</v>
      </c>
      <c r="G51" s="180" t="s">
        <v>54</v>
      </c>
      <c r="H51" s="180" t="s">
        <v>55</v>
      </c>
      <c r="I51" s="180" t="s">
        <v>54</v>
      </c>
      <c r="J51" s="180" t="s">
        <v>54</v>
      </c>
      <c r="K51" s="180" t="s">
        <v>54</v>
      </c>
      <c r="L51" s="180" t="s">
        <v>57</v>
      </c>
      <c r="M51" s="180" t="s">
        <v>55</v>
      </c>
      <c r="N51" s="180" t="s">
        <v>55</v>
      </c>
      <c r="O51" s="180" t="s">
        <v>55</v>
      </c>
      <c r="P51" s="180" t="s">
        <v>54</v>
      </c>
      <c r="Q51" s="180" t="s">
        <v>55</v>
      </c>
      <c r="R51" s="180" t="s">
        <v>55</v>
      </c>
      <c r="S51" s="180"/>
      <c r="T51" s="181"/>
    </row>
    <row r="52" ht="13.5" customHeight="1">
      <c r="A52" s="165"/>
      <c r="B52" s="182" t="s">
        <v>867</v>
      </c>
      <c r="C52" s="27"/>
      <c r="D52" s="25"/>
      <c r="E52" s="183"/>
      <c r="F52" s="184" t="s">
        <v>868</v>
      </c>
      <c r="G52" s="184" t="s">
        <v>868</v>
      </c>
      <c r="H52" s="184" t="s">
        <v>868</v>
      </c>
      <c r="I52" s="184" t="s">
        <v>868</v>
      </c>
      <c r="J52" s="184" t="s">
        <v>868</v>
      </c>
      <c r="K52" s="184" t="s">
        <v>868</v>
      </c>
      <c r="L52" s="184" t="s">
        <v>868</v>
      </c>
      <c r="M52" s="184" t="s">
        <v>868</v>
      </c>
      <c r="N52" s="184" t="s">
        <v>868</v>
      </c>
      <c r="O52" s="184" t="s">
        <v>868</v>
      </c>
      <c r="P52" s="184" t="s">
        <v>868</v>
      </c>
      <c r="Q52" s="184" t="s">
        <v>868</v>
      </c>
      <c r="R52" s="184" t="s">
        <v>868</v>
      </c>
      <c r="S52" s="184"/>
      <c r="T52" s="185"/>
    </row>
    <row r="53" ht="99.75" customHeight="1">
      <c r="A53" s="165"/>
      <c r="B53" s="186" t="s">
        <v>869</v>
      </c>
      <c r="C53" s="27"/>
      <c r="D53" s="25"/>
      <c r="E53" s="169"/>
      <c r="F53" s="187">
        <v>46307.0</v>
      </c>
      <c r="G53" s="187">
        <v>46307.0</v>
      </c>
      <c r="H53" s="187">
        <v>46307.0</v>
      </c>
      <c r="I53" s="187">
        <v>46307.0</v>
      </c>
      <c r="J53" s="187">
        <v>46307.0</v>
      </c>
      <c r="K53" s="187">
        <v>46307.0</v>
      </c>
      <c r="L53" s="187">
        <v>46307.0</v>
      </c>
      <c r="M53" s="187">
        <v>46307.0</v>
      </c>
      <c r="N53" s="187">
        <v>46307.0</v>
      </c>
      <c r="O53" s="187">
        <v>46307.0</v>
      </c>
      <c r="P53" s="187">
        <v>46307.0</v>
      </c>
      <c r="Q53" s="187">
        <v>46307.0</v>
      </c>
      <c r="R53" s="187">
        <v>46307.0</v>
      </c>
      <c r="S53" s="187"/>
      <c r="T53" s="188"/>
    </row>
    <row r="54" ht="72.75" customHeight="1">
      <c r="A54" s="190"/>
      <c r="B54" s="191" t="s">
        <v>870</v>
      </c>
      <c r="C54" s="192"/>
      <c r="D54" s="193"/>
      <c r="E54" s="194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6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51:D51"/>
    <mergeCell ref="B52:D52"/>
    <mergeCell ref="B53:D53"/>
    <mergeCell ref="B54:D54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2" width="3.57"/>
    <col customWidth="1" min="23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 ht="13.5" customHeight="1">
      <c r="A2" s="111" t="s">
        <v>707</v>
      </c>
      <c r="B2" s="112"/>
      <c r="C2" s="113" t="s">
        <v>558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503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  <c r="U3" s="27"/>
      <c r="V3" s="27"/>
    </row>
    <row r="4" ht="13.5" customHeight="1">
      <c r="A4" s="117" t="s">
        <v>711</v>
      </c>
      <c r="B4" s="27"/>
      <c r="C4" s="122">
        <v>383.0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</row>
    <row r="5" ht="13.5" customHeight="1">
      <c r="A5" s="117" t="s">
        <v>713</v>
      </c>
      <c r="B5" s="27"/>
      <c r="C5" s="124" t="s">
        <v>2513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</row>
    <row r="7" ht="13.5" customHeight="1">
      <c r="A7" s="129">
        <f>COUNTIF(F61:V61,"P")</f>
        <v>17</v>
      </c>
      <c r="B7" s="130"/>
      <c r="C7" s="131">
        <f>COUNTIF(F61:V61,"F")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COUNTIF(F60:V60,"N")</f>
        <v>3</v>
      </c>
      <c r="M7" s="132">
        <f>COUNTIF(F60:V60,"A")</f>
        <v>13</v>
      </c>
      <c r="N7" s="132">
        <f>COUNTIF(F60:V60,"B")</f>
        <v>1</v>
      </c>
      <c r="O7" s="133">
        <f>COUNTA(F9:V9)</f>
        <v>17</v>
      </c>
      <c r="P7" s="130"/>
      <c r="Q7" s="130"/>
      <c r="R7" s="130"/>
      <c r="S7" s="130"/>
      <c r="T7" s="130"/>
      <c r="U7" s="130"/>
      <c r="V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40" t="s">
        <v>732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7"/>
    </row>
    <row r="11" ht="13.5" customHeight="1">
      <c r="A11" s="148"/>
      <c r="B11" s="149"/>
      <c r="C11" s="150"/>
      <c r="D11" s="151" t="s">
        <v>2526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3"/>
    </row>
    <row r="12" ht="13.5" customHeight="1">
      <c r="A12" s="148"/>
      <c r="B12" s="149"/>
      <c r="C12" s="150"/>
      <c r="D12" s="151" t="s">
        <v>2530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3"/>
    </row>
    <row r="13" ht="13.5" customHeight="1">
      <c r="A13" s="148"/>
      <c r="B13" s="149"/>
      <c r="C13" s="150"/>
      <c r="D13" s="151" t="s">
        <v>2532</v>
      </c>
      <c r="E13" s="145"/>
      <c r="F13" s="152"/>
      <c r="G13" s="152"/>
      <c r="H13" s="152" t="s">
        <v>742</v>
      </c>
      <c r="I13" s="152" t="s">
        <v>742</v>
      </c>
      <c r="J13" s="152" t="s">
        <v>742</v>
      </c>
      <c r="K13" s="152" t="s">
        <v>742</v>
      </c>
      <c r="L13" s="152" t="s">
        <v>742</v>
      </c>
      <c r="M13" s="152" t="s">
        <v>742</v>
      </c>
      <c r="N13" s="152"/>
      <c r="O13" s="152"/>
      <c r="P13" s="152"/>
      <c r="Q13" s="152"/>
      <c r="R13" s="152"/>
      <c r="S13" s="152"/>
      <c r="T13" s="152"/>
      <c r="U13" s="152"/>
      <c r="V13" s="153"/>
    </row>
    <row r="14" ht="13.5" customHeight="1">
      <c r="A14" s="148"/>
      <c r="B14" s="149"/>
      <c r="C14" s="150"/>
      <c r="D14" s="151" t="s">
        <v>2450</v>
      </c>
      <c r="E14" s="145"/>
      <c r="F14" s="152"/>
      <c r="G14" s="152"/>
      <c r="H14" s="152"/>
      <c r="I14" s="152"/>
      <c r="J14" s="152"/>
      <c r="K14" s="152"/>
      <c r="L14" s="152"/>
      <c r="M14" s="152"/>
      <c r="N14" s="152" t="s">
        <v>742</v>
      </c>
      <c r="O14" s="152"/>
      <c r="P14" s="152"/>
      <c r="Q14" s="152"/>
      <c r="R14" s="152"/>
      <c r="S14" s="152"/>
      <c r="T14" s="152"/>
      <c r="U14" s="152"/>
      <c r="V14" s="153"/>
    </row>
    <row r="15" ht="13.5" customHeight="1">
      <c r="A15" s="148"/>
      <c r="B15" s="149"/>
      <c r="C15" s="150"/>
      <c r="D15" s="151" t="s">
        <v>2535</v>
      </c>
      <c r="E15" s="145"/>
      <c r="F15" s="152"/>
      <c r="G15" s="152"/>
      <c r="H15" s="152"/>
      <c r="I15" s="152"/>
      <c r="J15" s="152"/>
      <c r="K15" s="152"/>
      <c r="L15" s="152"/>
      <c r="M15" s="152"/>
      <c r="N15" s="152"/>
      <c r="O15" s="152" t="s">
        <v>742</v>
      </c>
      <c r="P15" s="152"/>
      <c r="Q15" s="152"/>
      <c r="R15" s="152"/>
      <c r="S15" s="152"/>
      <c r="T15" s="152"/>
      <c r="U15" s="152"/>
      <c r="V15" s="153"/>
    </row>
    <row r="16" ht="13.5" customHeight="1">
      <c r="A16" s="148"/>
      <c r="B16" s="149"/>
      <c r="C16" s="150"/>
      <c r="D16" s="151" t="s">
        <v>2538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 t="s">
        <v>742</v>
      </c>
      <c r="Q16" s="152"/>
      <c r="R16" s="152"/>
      <c r="S16" s="152"/>
      <c r="T16" s="152"/>
      <c r="U16" s="152"/>
      <c r="V16" s="153"/>
    </row>
    <row r="17" ht="13.5" customHeight="1">
      <c r="A17" s="148"/>
      <c r="B17" s="149"/>
      <c r="C17" s="150"/>
      <c r="D17" s="151" t="s">
        <v>2540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 t="s">
        <v>742</v>
      </c>
      <c r="R17" s="152"/>
      <c r="S17" s="152"/>
      <c r="T17" s="152"/>
      <c r="U17" s="152"/>
      <c r="V17" s="153"/>
    </row>
    <row r="18" ht="13.5" customHeight="1">
      <c r="A18" s="148"/>
      <c r="B18" s="149"/>
      <c r="C18" s="150"/>
      <c r="D18" s="151" t="s">
        <v>2541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 t="s">
        <v>742</v>
      </c>
      <c r="S18" s="152"/>
      <c r="T18" s="152"/>
      <c r="U18" s="152"/>
      <c r="V18" s="153"/>
    </row>
    <row r="19" ht="13.5" customHeight="1">
      <c r="A19" s="148"/>
      <c r="B19" s="149"/>
      <c r="C19" s="150"/>
      <c r="D19" s="151" t="s">
        <v>2543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 t="s">
        <v>742</v>
      </c>
      <c r="T19" s="152"/>
      <c r="U19" s="152"/>
      <c r="V19" s="153"/>
    </row>
    <row r="20" ht="13.5" customHeight="1">
      <c r="A20" s="148"/>
      <c r="B20" s="149"/>
      <c r="C20" s="150"/>
      <c r="D20" s="151" t="s">
        <v>2546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 t="s">
        <v>742</v>
      </c>
      <c r="U20" s="152"/>
      <c r="V20" s="153"/>
    </row>
    <row r="21" ht="13.5" customHeight="1">
      <c r="A21" s="148"/>
      <c r="B21" s="149"/>
      <c r="C21" s="150"/>
      <c r="D21" s="151" t="s">
        <v>2549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 t="s">
        <v>742</v>
      </c>
      <c r="V21" s="153"/>
    </row>
    <row r="22" ht="13.5" customHeight="1">
      <c r="A22" s="148"/>
      <c r="B22" s="149"/>
      <c r="C22" s="150"/>
      <c r="D22" s="151" t="s">
        <v>2552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 t="s">
        <v>742</v>
      </c>
    </row>
    <row r="23" ht="13.5" customHeight="1">
      <c r="A23" s="148"/>
      <c r="B23" s="149" t="s">
        <v>768</v>
      </c>
      <c r="C23" s="150"/>
      <c r="D23" s="151"/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3"/>
    </row>
    <row r="24" ht="13.5" customHeight="1">
      <c r="A24" s="148"/>
      <c r="B24" s="149"/>
      <c r="C24" s="150"/>
      <c r="D24" s="151" t="s">
        <v>2558</v>
      </c>
      <c r="E24" s="145"/>
      <c r="F24" s="152" t="s">
        <v>742</v>
      </c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3"/>
    </row>
    <row r="25" ht="13.5" customHeight="1">
      <c r="A25" s="148"/>
      <c r="B25" s="149"/>
      <c r="C25" s="150"/>
      <c r="D25" s="151" t="s">
        <v>2560</v>
      </c>
      <c r="E25" s="145"/>
      <c r="F25" s="152"/>
      <c r="G25" s="152" t="s">
        <v>742</v>
      </c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3"/>
    </row>
    <row r="26" ht="13.5" customHeight="1">
      <c r="A26" s="148"/>
      <c r="B26" s="149"/>
      <c r="C26" s="150"/>
      <c r="D26" s="151" t="s">
        <v>2562</v>
      </c>
      <c r="E26" s="145"/>
      <c r="F26" s="152"/>
      <c r="G26" s="152"/>
      <c r="H26" s="152" t="s">
        <v>742</v>
      </c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3"/>
    </row>
    <row r="27" ht="13.5" customHeight="1">
      <c r="A27" s="148"/>
      <c r="B27" s="149"/>
      <c r="C27" s="150"/>
      <c r="D27" s="151" t="s">
        <v>2565</v>
      </c>
      <c r="E27" s="145"/>
      <c r="F27" s="152"/>
      <c r="G27" s="152"/>
      <c r="H27" s="152"/>
      <c r="I27" s="152" t="s">
        <v>742</v>
      </c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3"/>
    </row>
    <row r="28" ht="13.5" customHeight="1">
      <c r="A28" s="148"/>
      <c r="B28" s="149"/>
      <c r="C28" s="150"/>
      <c r="D28" s="151" t="s">
        <v>2568</v>
      </c>
      <c r="E28" s="145"/>
      <c r="F28" s="152"/>
      <c r="G28" s="152"/>
      <c r="H28" s="152"/>
      <c r="I28" s="152"/>
      <c r="J28" s="152" t="s">
        <v>742</v>
      </c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3"/>
    </row>
    <row r="29" ht="13.5" customHeight="1">
      <c r="A29" s="148"/>
      <c r="B29" s="149"/>
      <c r="C29" s="150"/>
      <c r="D29" s="151" t="s">
        <v>2570</v>
      </c>
      <c r="E29" s="145"/>
      <c r="F29" s="152"/>
      <c r="G29" s="152"/>
      <c r="H29" s="152"/>
      <c r="I29" s="152"/>
      <c r="J29" s="152"/>
      <c r="K29" s="152" t="s">
        <v>742</v>
      </c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3"/>
    </row>
    <row r="30" ht="13.5" customHeight="1">
      <c r="A30" s="148"/>
      <c r="B30" s="149"/>
      <c r="C30" s="150"/>
      <c r="D30" s="151" t="s">
        <v>2572</v>
      </c>
      <c r="E30" s="145"/>
      <c r="F30" s="152"/>
      <c r="G30" s="152"/>
      <c r="H30" s="152"/>
      <c r="I30" s="152"/>
      <c r="J30" s="152"/>
      <c r="K30" s="152"/>
      <c r="L30" s="152" t="s">
        <v>742</v>
      </c>
      <c r="M30" s="152"/>
      <c r="N30" s="152"/>
      <c r="O30" s="152"/>
      <c r="P30" s="152"/>
      <c r="Q30" s="152"/>
      <c r="R30" s="152"/>
      <c r="S30" s="152"/>
      <c r="T30" s="152"/>
      <c r="U30" s="152"/>
      <c r="V30" s="153"/>
    </row>
    <row r="31" ht="13.5" customHeight="1">
      <c r="A31" s="148"/>
      <c r="B31" s="149"/>
      <c r="C31" s="150"/>
      <c r="D31" s="151" t="s">
        <v>2574</v>
      </c>
      <c r="E31" s="145"/>
      <c r="F31" s="152"/>
      <c r="G31" s="152"/>
      <c r="H31" s="152"/>
      <c r="I31" s="152"/>
      <c r="J31" s="152"/>
      <c r="K31" s="152"/>
      <c r="L31" s="152"/>
      <c r="M31" s="152" t="s">
        <v>742</v>
      </c>
      <c r="N31" s="152"/>
      <c r="O31" s="152"/>
      <c r="P31" s="152"/>
      <c r="Q31" s="152"/>
      <c r="R31" s="152"/>
      <c r="S31" s="152"/>
      <c r="T31" s="152"/>
      <c r="U31" s="152"/>
      <c r="V31" s="153"/>
    </row>
    <row r="32" ht="13.5" customHeight="1">
      <c r="A32" s="148"/>
      <c r="B32" s="149"/>
      <c r="C32" s="150"/>
      <c r="D32" s="151" t="s">
        <v>2576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 t="s">
        <v>742</v>
      </c>
      <c r="O32" s="152" t="s">
        <v>742</v>
      </c>
      <c r="P32" s="152"/>
      <c r="Q32" s="152"/>
      <c r="R32" s="152"/>
      <c r="S32" s="152"/>
      <c r="T32" s="152"/>
      <c r="U32" s="152"/>
      <c r="V32" s="153"/>
    </row>
    <row r="33" ht="13.5" customHeight="1">
      <c r="A33" s="148"/>
      <c r="B33" s="149"/>
      <c r="C33" s="150"/>
      <c r="D33" s="151" t="s">
        <v>2579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 t="s">
        <v>742</v>
      </c>
      <c r="Q33" s="152"/>
      <c r="R33" s="152"/>
      <c r="S33" s="152"/>
      <c r="T33" s="152"/>
      <c r="U33" s="152"/>
      <c r="V33" s="153"/>
    </row>
    <row r="34" ht="13.5" customHeight="1">
      <c r="A34" s="148"/>
      <c r="B34" s="149"/>
      <c r="C34" s="150"/>
      <c r="D34" s="151" t="s">
        <v>2581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 t="s">
        <v>742</v>
      </c>
      <c r="R34" s="152" t="s">
        <v>742</v>
      </c>
      <c r="S34" s="152" t="s">
        <v>742</v>
      </c>
      <c r="T34" s="152"/>
      <c r="U34" s="152"/>
      <c r="V34" s="153"/>
    </row>
    <row r="35" ht="13.5" customHeight="1">
      <c r="A35" s="148"/>
      <c r="B35" s="149"/>
      <c r="C35" s="150"/>
      <c r="D35" s="151" t="s">
        <v>2583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 t="s">
        <v>742</v>
      </c>
      <c r="U35" s="152"/>
      <c r="V35" s="153"/>
    </row>
    <row r="36" ht="13.5" customHeight="1">
      <c r="A36" s="148"/>
      <c r="B36" s="149"/>
      <c r="C36" s="150"/>
      <c r="D36" s="151" t="s">
        <v>2585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 t="s">
        <v>742</v>
      </c>
      <c r="V36" s="153"/>
    </row>
    <row r="37" ht="13.5" customHeight="1">
      <c r="A37" s="148"/>
      <c r="B37" s="149"/>
      <c r="C37" s="150"/>
      <c r="D37" s="151" t="s">
        <v>2587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3" t="s">
        <v>742</v>
      </c>
    </row>
    <row r="38" ht="13.5" customHeight="1">
      <c r="A38" s="148"/>
      <c r="B38" s="154"/>
      <c r="C38" s="155"/>
      <c r="D38" s="156"/>
      <c r="E38" s="157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9"/>
    </row>
    <row r="39" ht="13.5" customHeight="1">
      <c r="A39" s="160" t="s">
        <v>802</v>
      </c>
      <c r="B39" s="161" t="s">
        <v>804</v>
      </c>
      <c r="C39" s="162"/>
      <c r="D39" s="163"/>
      <c r="E39" s="164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7"/>
    </row>
    <row r="40" ht="13.5" customHeight="1">
      <c r="A40" s="165"/>
      <c r="B40" s="166"/>
      <c r="C40" s="167"/>
      <c r="D40" s="168" t="s">
        <v>2597</v>
      </c>
      <c r="E40" s="169"/>
      <c r="F40" s="152" t="s">
        <v>742</v>
      </c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3"/>
    </row>
    <row r="41" ht="13.5" customHeight="1">
      <c r="A41" s="165"/>
      <c r="B41" s="166"/>
      <c r="C41" s="167"/>
      <c r="D41" s="168" t="s">
        <v>2601</v>
      </c>
      <c r="E41" s="169"/>
      <c r="F41" s="152"/>
      <c r="G41" s="152" t="s">
        <v>742</v>
      </c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3"/>
    </row>
    <row r="42" ht="13.5" customHeight="1">
      <c r="A42" s="165"/>
      <c r="B42" s="166"/>
      <c r="C42" s="167"/>
      <c r="D42" s="168" t="s">
        <v>2604</v>
      </c>
      <c r="E42" s="169"/>
      <c r="F42" s="152"/>
      <c r="G42" s="152"/>
      <c r="H42" s="152" t="s">
        <v>742</v>
      </c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3"/>
    </row>
    <row r="43" ht="13.5" customHeight="1">
      <c r="A43" s="165"/>
      <c r="B43" s="166"/>
      <c r="C43" s="167"/>
      <c r="D43" s="168" t="s">
        <v>2606</v>
      </c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 t="s">
        <v>742</v>
      </c>
      <c r="V43" s="153"/>
    </row>
    <row r="44" ht="13.5" customHeight="1">
      <c r="A44" s="165"/>
      <c r="B44" s="166" t="s">
        <v>825</v>
      </c>
      <c r="C44" s="167"/>
      <c r="D44" s="168"/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3"/>
    </row>
    <row r="45" ht="13.5" customHeight="1">
      <c r="A45" s="165"/>
      <c r="B45" s="166"/>
      <c r="C45" s="167"/>
      <c r="D45" s="168" t="s">
        <v>2609</v>
      </c>
      <c r="E45" s="169"/>
      <c r="F45" s="152"/>
      <c r="G45" s="152"/>
      <c r="H45" s="152"/>
      <c r="I45" s="152" t="s">
        <v>742</v>
      </c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3"/>
    </row>
    <row r="46" ht="13.5" customHeight="1">
      <c r="A46" s="165"/>
      <c r="B46" s="166"/>
      <c r="C46" s="167"/>
      <c r="D46" s="168" t="s">
        <v>2612</v>
      </c>
      <c r="E46" s="169"/>
      <c r="F46" s="152"/>
      <c r="G46" s="152"/>
      <c r="H46" s="152"/>
      <c r="I46" s="152"/>
      <c r="J46" s="152" t="s">
        <v>742</v>
      </c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3"/>
    </row>
    <row r="47" ht="13.5" customHeight="1">
      <c r="A47" s="165"/>
      <c r="B47" s="166"/>
      <c r="C47" s="167"/>
      <c r="D47" s="168" t="s">
        <v>2615</v>
      </c>
      <c r="E47" s="169"/>
      <c r="F47" s="152"/>
      <c r="G47" s="152"/>
      <c r="H47" s="152"/>
      <c r="I47" s="152"/>
      <c r="J47" s="152"/>
      <c r="K47" s="152" t="s">
        <v>742</v>
      </c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3"/>
    </row>
    <row r="48" ht="13.5" customHeight="1">
      <c r="A48" s="165"/>
      <c r="B48" s="166"/>
      <c r="C48" s="167"/>
      <c r="D48" s="168" t="s">
        <v>2618</v>
      </c>
      <c r="E48" s="169"/>
      <c r="F48" s="152"/>
      <c r="G48" s="152"/>
      <c r="H48" s="152"/>
      <c r="I48" s="152"/>
      <c r="J48" s="152"/>
      <c r="K48" s="152"/>
      <c r="L48" s="152" t="s">
        <v>742</v>
      </c>
      <c r="M48" s="152"/>
      <c r="N48" s="152"/>
      <c r="O48" s="152"/>
      <c r="P48" s="152"/>
      <c r="Q48" s="152"/>
      <c r="R48" s="152"/>
      <c r="S48" s="152"/>
      <c r="T48" s="152"/>
      <c r="U48" s="152"/>
      <c r="V48" s="153"/>
    </row>
    <row r="49" ht="13.5" customHeight="1">
      <c r="A49" s="165"/>
      <c r="B49" s="166"/>
      <c r="C49" s="167"/>
      <c r="D49" s="168" t="s">
        <v>2623</v>
      </c>
      <c r="E49" s="169"/>
      <c r="F49" s="152"/>
      <c r="G49" s="152"/>
      <c r="H49" s="152"/>
      <c r="I49" s="152"/>
      <c r="J49" s="152"/>
      <c r="K49" s="152"/>
      <c r="L49" s="152"/>
      <c r="M49" s="152" t="s">
        <v>742</v>
      </c>
      <c r="N49" s="152"/>
      <c r="O49" s="152"/>
      <c r="P49" s="152"/>
      <c r="Q49" s="152"/>
      <c r="R49" s="152"/>
      <c r="S49" s="152"/>
      <c r="T49" s="152"/>
      <c r="U49" s="152"/>
      <c r="V49" s="153"/>
    </row>
    <row r="50" ht="13.5" customHeight="1">
      <c r="A50" s="165"/>
      <c r="B50" s="166"/>
      <c r="C50" s="167"/>
      <c r="D50" s="168" t="s">
        <v>2625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 t="s">
        <v>742</v>
      </c>
      <c r="O50" s="152"/>
      <c r="P50" s="152"/>
      <c r="Q50" s="152"/>
      <c r="R50" s="152"/>
      <c r="S50" s="152"/>
      <c r="T50" s="152"/>
      <c r="U50" s="152"/>
      <c r="V50" s="153"/>
    </row>
    <row r="51" ht="13.5" customHeight="1">
      <c r="A51" s="165"/>
      <c r="B51" s="166"/>
      <c r="C51" s="167"/>
      <c r="D51" s="168" t="s">
        <v>2627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 t="s">
        <v>742</v>
      </c>
      <c r="P51" s="152"/>
      <c r="Q51" s="152"/>
      <c r="R51" s="152"/>
      <c r="S51" s="152"/>
      <c r="T51" s="152"/>
      <c r="U51" s="152"/>
      <c r="V51" s="153"/>
    </row>
    <row r="52" ht="13.5" customHeight="1">
      <c r="A52" s="165"/>
      <c r="B52" s="166"/>
      <c r="C52" s="167"/>
      <c r="D52" s="168" t="s">
        <v>2629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 t="s">
        <v>742</v>
      </c>
      <c r="Q52" s="152"/>
      <c r="R52" s="152"/>
      <c r="S52" s="152"/>
      <c r="T52" s="152"/>
      <c r="U52" s="152"/>
      <c r="V52" s="153"/>
    </row>
    <row r="53" ht="13.5" customHeight="1">
      <c r="A53" s="165"/>
      <c r="B53" s="166"/>
      <c r="C53" s="167"/>
      <c r="D53" s="168" t="s">
        <v>2631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 t="s">
        <v>742</v>
      </c>
      <c r="R53" s="152"/>
      <c r="S53" s="152"/>
      <c r="T53" s="152"/>
      <c r="U53" s="152"/>
      <c r="V53" s="153"/>
    </row>
    <row r="54" ht="13.5" customHeight="1">
      <c r="A54" s="165"/>
      <c r="B54" s="166"/>
      <c r="C54" s="167"/>
      <c r="D54" s="168" t="s">
        <v>2632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 t="s">
        <v>742</v>
      </c>
      <c r="S54" s="152"/>
      <c r="T54" s="152"/>
      <c r="U54" s="152"/>
      <c r="V54" s="153"/>
    </row>
    <row r="55" ht="13.5" customHeight="1">
      <c r="A55" s="165"/>
      <c r="B55" s="166"/>
      <c r="C55" s="167"/>
      <c r="D55" s="168" t="s">
        <v>2633</v>
      </c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 t="s">
        <v>742</v>
      </c>
      <c r="T55" s="152"/>
      <c r="U55" s="152"/>
      <c r="V55" s="153"/>
    </row>
    <row r="56" ht="13.5" customHeight="1">
      <c r="A56" s="165"/>
      <c r="B56" s="166"/>
      <c r="C56" s="167"/>
      <c r="D56" s="168" t="s">
        <v>2634</v>
      </c>
      <c r="E56" s="16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 t="s">
        <v>742</v>
      </c>
      <c r="U56" s="152"/>
      <c r="V56" s="153"/>
    </row>
    <row r="57" ht="13.5" customHeight="1">
      <c r="A57" s="165"/>
      <c r="B57" s="166"/>
      <c r="C57" s="167"/>
      <c r="D57" s="168" t="s">
        <v>2635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3" t="s">
        <v>742</v>
      </c>
    </row>
    <row r="58" ht="13.5" customHeight="1">
      <c r="A58" s="165"/>
      <c r="B58" s="166" t="s">
        <v>854</v>
      </c>
      <c r="C58" s="167"/>
      <c r="D58" s="168"/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3"/>
    </row>
    <row r="59" ht="13.5" customHeight="1">
      <c r="A59" s="165"/>
      <c r="B59" s="170"/>
      <c r="C59" s="171"/>
      <c r="D59" s="172"/>
      <c r="E59" s="173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5"/>
    </row>
    <row r="60" ht="13.5" customHeight="1">
      <c r="A60" s="160" t="s">
        <v>865</v>
      </c>
      <c r="B60" s="176" t="s">
        <v>866</v>
      </c>
      <c r="C60" s="177"/>
      <c r="D60" s="178"/>
      <c r="E60" s="179"/>
      <c r="F60" s="180" t="s">
        <v>54</v>
      </c>
      <c r="G60" s="180" t="s">
        <v>54</v>
      </c>
      <c r="H60" s="180" t="s">
        <v>57</v>
      </c>
      <c r="I60" s="180" t="s">
        <v>55</v>
      </c>
      <c r="J60" s="180" t="s">
        <v>55</v>
      </c>
      <c r="K60" s="180" t="s">
        <v>55</v>
      </c>
      <c r="L60" s="180" t="s">
        <v>55</v>
      </c>
      <c r="M60" s="180" t="s">
        <v>55</v>
      </c>
      <c r="N60" s="180" t="s">
        <v>55</v>
      </c>
      <c r="O60" s="180" t="s">
        <v>55</v>
      </c>
      <c r="P60" s="180" t="s">
        <v>55</v>
      </c>
      <c r="Q60" s="180" t="s">
        <v>55</v>
      </c>
      <c r="R60" s="180" t="s">
        <v>55</v>
      </c>
      <c r="S60" s="180" t="s">
        <v>55</v>
      </c>
      <c r="T60" s="180" t="s">
        <v>55</v>
      </c>
      <c r="U60" s="180" t="s">
        <v>54</v>
      </c>
      <c r="V60" s="181" t="s">
        <v>55</v>
      </c>
    </row>
    <row r="61" ht="13.5" customHeight="1">
      <c r="A61" s="165"/>
      <c r="B61" s="182" t="s">
        <v>867</v>
      </c>
      <c r="C61" s="27"/>
      <c r="D61" s="25"/>
      <c r="E61" s="183"/>
      <c r="F61" s="184" t="s">
        <v>868</v>
      </c>
      <c r="G61" s="184" t="s">
        <v>868</v>
      </c>
      <c r="H61" s="184" t="s">
        <v>868</v>
      </c>
      <c r="I61" s="184" t="s">
        <v>868</v>
      </c>
      <c r="J61" s="184" t="s">
        <v>868</v>
      </c>
      <c r="K61" s="184" t="s">
        <v>868</v>
      </c>
      <c r="L61" s="184" t="s">
        <v>868</v>
      </c>
      <c r="M61" s="184" t="s">
        <v>868</v>
      </c>
      <c r="N61" s="184" t="s">
        <v>868</v>
      </c>
      <c r="O61" s="184" t="s">
        <v>868</v>
      </c>
      <c r="P61" s="184" t="s">
        <v>868</v>
      </c>
      <c r="Q61" s="184" t="s">
        <v>868</v>
      </c>
      <c r="R61" s="184" t="s">
        <v>868</v>
      </c>
      <c r="S61" s="184" t="s">
        <v>868</v>
      </c>
      <c r="T61" s="184" t="s">
        <v>868</v>
      </c>
      <c r="U61" s="184" t="s">
        <v>868</v>
      </c>
      <c r="V61" s="185" t="s">
        <v>868</v>
      </c>
    </row>
    <row r="62" ht="99.75" customHeight="1">
      <c r="A62" s="165"/>
      <c r="B62" s="186" t="s">
        <v>869</v>
      </c>
      <c r="C62" s="27"/>
      <c r="D62" s="25"/>
      <c r="E62" s="169"/>
      <c r="F62" s="187">
        <v>46307.0</v>
      </c>
      <c r="G62" s="187">
        <v>46307.0</v>
      </c>
      <c r="H62" s="187">
        <v>46307.0</v>
      </c>
      <c r="I62" s="187">
        <v>46307.0</v>
      </c>
      <c r="J62" s="187">
        <v>46307.0</v>
      </c>
      <c r="K62" s="187">
        <v>46307.0</v>
      </c>
      <c r="L62" s="187">
        <v>46307.0</v>
      </c>
      <c r="M62" s="187">
        <v>46307.0</v>
      </c>
      <c r="N62" s="187">
        <v>46307.0</v>
      </c>
      <c r="O62" s="187">
        <v>46307.0</v>
      </c>
      <c r="P62" s="187">
        <v>46307.0</v>
      </c>
      <c r="Q62" s="187">
        <v>46307.0</v>
      </c>
      <c r="R62" s="187">
        <v>46307.0</v>
      </c>
      <c r="S62" s="187">
        <v>46307.0</v>
      </c>
      <c r="T62" s="187">
        <v>46307.0</v>
      </c>
      <c r="U62" s="187">
        <v>46307.0</v>
      </c>
      <c r="V62" s="188">
        <v>46307.0</v>
      </c>
    </row>
    <row r="63" ht="72.75" customHeight="1">
      <c r="A63" s="190"/>
      <c r="B63" s="191" t="s">
        <v>870</v>
      </c>
      <c r="C63" s="192"/>
      <c r="D63" s="193"/>
      <c r="E63" s="194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6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V4"/>
    <mergeCell ref="C5:V5"/>
    <mergeCell ref="A2:B2"/>
    <mergeCell ref="C2:E2"/>
    <mergeCell ref="F2:K2"/>
    <mergeCell ref="L2:V2"/>
    <mergeCell ref="C3:E3"/>
    <mergeCell ref="F3:K3"/>
    <mergeCell ref="L3:V3"/>
    <mergeCell ref="F6:K6"/>
    <mergeCell ref="L6:N6"/>
    <mergeCell ref="O6:V6"/>
    <mergeCell ref="A7:B7"/>
    <mergeCell ref="C7:E7"/>
    <mergeCell ref="F7:K7"/>
    <mergeCell ref="O7:V7"/>
    <mergeCell ref="B60:D60"/>
    <mergeCell ref="B61:D61"/>
    <mergeCell ref="B62:D62"/>
    <mergeCell ref="B63:D63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566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508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408.0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2537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COUNTIF(F56:T56,"P")</f>
        <v>15</v>
      </c>
      <c r="B7" s="130"/>
      <c r="C7" s="131">
        <f>COUNTIF(F56:T56,"F")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COUNTIF(F55:T55,"N")</f>
        <v>6</v>
      </c>
      <c r="M7" s="132">
        <f>COUNTIF(F55:T55,"A")</f>
        <v>9</v>
      </c>
      <c r="N7" s="132">
        <f>COUNTIF(F55:T55,"B")</f>
        <v>0</v>
      </c>
      <c r="O7" s="133">
        <f>COUNTA(F9:T9)</f>
        <v>15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40" t="s">
        <v>730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2578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2582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2584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2586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2588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2589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2591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2593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 t="s">
        <v>742</v>
      </c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2595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2598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 t="s">
        <v>742</v>
      </c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2600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 t="s">
        <v>742</v>
      </c>
      <c r="R21" s="152"/>
      <c r="S21" s="152"/>
      <c r="T21" s="153"/>
    </row>
    <row r="22" ht="13.5" customHeight="1">
      <c r="A22" s="148"/>
      <c r="B22" s="149"/>
      <c r="C22" s="150"/>
      <c r="D22" s="151" t="s">
        <v>2603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 t="s">
        <v>742</v>
      </c>
      <c r="S22" s="152"/>
      <c r="T22" s="153"/>
    </row>
    <row r="23" ht="13.5" customHeight="1">
      <c r="A23" s="148"/>
      <c r="B23" s="149"/>
      <c r="C23" s="150"/>
      <c r="D23" s="151" t="s">
        <v>2540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 t="s">
        <v>742</v>
      </c>
      <c r="T23" s="153"/>
    </row>
    <row r="24" ht="13.5" customHeight="1">
      <c r="A24" s="148"/>
      <c r="B24" s="149"/>
      <c r="C24" s="150"/>
      <c r="D24" s="151" t="s">
        <v>2607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 t="s">
        <v>742</v>
      </c>
    </row>
    <row r="25" ht="13.5" customHeight="1">
      <c r="A25" s="148"/>
      <c r="B25" s="149" t="s">
        <v>768</v>
      </c>
      <c r="C25" s="150"/>
      <c r="D25" s="151"/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2611</v>
      </c>
      <c r="E26" s="145"/>
      <c r="F26" s="152" t="s">
        <v>742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2614</v>
      </c>
      <c r="E27" s="145"/>
      <c r="F27" s="152"/>
      <c r="G27" s="152" t="s">
        <v>742</v>
      </c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2616</v>
      </c>
      <c r="E28" s="145"/>
      <c r="F28" s="152"/>
      <c r="G28" s="152"/>
      <c r="H28" s="152" t="s">
        <v>742</v>
      </c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2619</v>
      </c>
      <c r="E29" s="145"/>
      <c r="F29" s="152"/>
      <c r="G29" s="152"/>
      <c r="H29" s="152"/>
      <c r="I29" s="152" t="s">
        <v>742</v>
      </c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2621</v>
      </c>
      <c r="E30" s="145"/>
      <c r="F30" s="152"/>
      <c r="G30" s="152"/>
      <c r="H30" s="152"/>
      <c r="I30" s="152"/>
      <c r="J30" s="152" t="s">
        <v>742</v>
      </c>
      <c r="K30" s="152" t="s">
        <v>742</v>
      </c>
      <c r="L30" s="152"/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48"/>
      <c r="B31" s="149"/>
      <c r="C31" s="150"/>
      <c r="D31" s="151" t="s">
        <v>2624</v>
      </c>
      <c r="E31" s="145"/>
      <c r="F31" s="152"/>
      <c r="G31" s="152"/>
      <c r="H31" s="152"/>
      <c r="I31" s="152"/>
      <c r="J31" s="152"/>
      <c r="K31" s="152"/>
      <c r="L31" s="152" t="s">
        <v>742</v>
      </c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48"/>
      <c r="B32" s="149"/>
      <c r="C32" s="150"/>
      <c r="D32" s="151" t="s">
        <v>2626</v>
      </c>
      <c r="E32" s="145"/>
      <c r="F32" s="152"/>
      <c r="G32" s="152"/>
      <c r="H32" s="152"/>
      <c r="I32" s="152"/>
      <c r="J32" s="152"/>
      <c r="K32" s="152"/>
      <c r="L32" s="152"/>
      <c r="M32" s="152" t="s">
        <v>742</v>
      </c>
      <c r="N32" s="152"/>
      <c r="O32" s="152" t="s">
        <v>742</v>
      </c>
      <c r="P32" s="152"/>
      <c r="Q32" s="152" t="s">
        <v>742</v>
      </c>
      <c r="R32" s="152" t="s">
        <v>742</v>
      </c>
      <c r="S32" s="152" t="s">
        <v>742</v>
      </c>
      <c r="T32" s="153" t="s">
        <v>742</v>
      </c>
    </row>
    <row r="33" ht="13.5" customHeight="1">
      <c r="A33" s="148"/>
      <c r="B33" s="149"/>
      <c r="C33" s="150"/>
      <c r="D33" s="151" t="s">
        <v>2628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 t="s">
        <v>742</v>
      </c>
      <c r="O33" s="152"/>
      <c r="P33" s="152"/>
      <c r="Q33" s="152"/>
      <c r="R33" s="152"/>
      <c r="S33" s="152"/>
      <c r="T33" s="153"/>
    </row>
    <row r="34" ht="13.5" customHeight="1">
      <c r="A34" s="148"/>
      <c r="B34" s="149"/>
      <c r="C34" s="150"/>
      <c r="D34" s="151" t="s">
        <v>2630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 t="s">
        <v>742</v>
      </c>
      <c r="Q34" s="152"/>
      <c r="R34" s="152"/>
      <c r="S34" s="152"/>
      <c r="T34" s="153"/>
    </row>
    <row r="35" ht="13.5" customHeight="1">
      <c r="A35" s="148"/>
      <c r="B35" s="154"/>
      <c r="C35" s="155"/>
      <c r="D35" s="156"/>
      <c r="E35" s="157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9"/>
    </row>
    <row r="36" ht="13.5" customHeight="1">
      <c r="A36" s="160" t="s">
        <v>802</v>
      </c>
      <c r="B36" s="161" t="s">
        <v>804</v>
      </c>
      <c r="C36" s="162"/>
      <c r="D36" s="163"/>
      <c r="E36" s="164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7"/>
    </row>
    <row r="37" ht="13.5" customHeight="1">
      <c r="A37" s="165"/>
      <c r="B37" s="166"/>
      <c r="C37" s="167"/>
      <c r="D37" s="168" t="s">
        <v>2636</v>
      </c>
      <c r="E37" s="169"/>
      <c r="F37" s="152" t="s">
        <v>742</v>
      </c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2637</v>
      </c>
      <c r="E38" s="169"/>
      <c r="F38" s="152"/>
      <c r="G38" s="152"/>
      <c r="H38" s="152" t="s">
        <v>742</v>
      </c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2638</v>
      </c>
      <c r="E39" s="169"/>
      <c r="F39" s="152"/>
      <c r="G39" s="152"/>
      <c r="H39" s="152"/>
      <c r="I39" s="152"/>
      <c r="J39" s="152" t="s">
        <v>742</v>
      </c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2639</v>
      </c>
      <c r="E40" s="169"/>
      <c r="F40" s="152"/>
      <c r="G40" s="152"/>
      <c r="H40" s="152"/>
      <c r="I40" s="152"/>
      <c r="J40" s="152"/>
      <c r="K40" s="152"/>
      <c r="L40" s="152" t="s">
        <v>742</v>
      </c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2640</v>
      </c>
      <c r="E41" s="169"/>
      <c r="F41" s="152"/>
      <c r="G41" s="152"/>
      <c r="H41" s="152"/>
      <c r="I41" s="152"/>
      <c r="J41" s="152"/>
      <c r="K41" s="152"/>
      <c r="L41" s="152"/>
      <c r="M41" s="152" t="s">
        <v>742</v>
      </c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2641</v>
      </c>
      <c r="E42" s="169"/>
      <c r="F42" s="152"/>
      <c r="G42" s="152"/>
      <c r="H42" s="152"/>
      <c r="I42" s="152"/>
      <c r="J42" s="152"/>
      <c r="K42" s="152"/>
      <c r="L42" s="152"/>
      <c r="M42" s="152"/>
      <c r="N42" s="152" t="s">
        <v>742</v>
      </c>
      <c r="O42" s="152"/>
      <c r="P42" s="152"/>
      <c r="Q42" s="152"/>
      <c r="R42" s="152"/>
      <c r="S42" s="152"/>
      <c r="T42" s="153"/>
    </row>
    <row r="43" ht="13.5" customHeight="1">
      <c r="A43" s="165"/>
      <c r="B43" s="166" t="s">
        <v>825</v>
      </c>
      <c r="C43" s="167"/>
      <c r="D43" s="168"/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2635</v>
      </c>
      <c r="E44" s="169"/>
      <c r="F44" s="152"/>
      <c r="G44" s="152" t="s">
        <v>742</v>
      </c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3"/>
    </row>
    <row r="45" ht="13.5" customHeight="1">
      <c r="A45" s="165"/>
      <c r="B45" s="166"/>
      <c r="C45" s="167"/>
      <c r="D45" s="168" t="s">
        <v>2627</v>
      </c>
      <c r="E45" s="169"/>
      <c r="F45" s="152"/>
      <c r="G45" s="152"/>
      <c r="H45" s="152"/>
      <c r="I45" s="152" t="s">
        <v>742</v>
      </c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3"/>
    </row>
    <row r="46" ht="13.5" customHeight="1">
      <c r="A46" s="165"/>
      <c r="B46" s="166"/>
      <c r="C46" s="167"/>
      <c r="D46" s="168" t="s">
        <v>2642</v>
      </c>
      <c r="E46" s="169"/>
      <c r="F46" s="152"/>
      <c r="G46" s="152"/>
      <c r="H46" s="152"/>
      <c r="I46" s="152"/>
      <c r="J46" s="152"/>
      <c r="K46" s="152" t="s">
        <v>742</v>
      </c>
      <c r="L46" s="152"/>
      <c r="M46" s="152"/>
      <c r="N46" s="152"/>
      <c r="O46" s="152"/>
      <c r="P46" s="152"/>
      <c r="Q46" s="152"/>
      <c r="R46" s="152"/>
      <c r="S46" s="152"/>
      <c r="T46" s="153"/>
    </row>
    <row r="47" ht="13.5" customHeight="1">
      <c r="A47" s="165"/>
      <c r="B47" s="166"/>
      <c r="C47" s="167"/>
      <c r="D47" s="168" t="s">
        <v>2643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 t="s">
        <v>742</v>
      </c>
      <c r="P47" s="152"/>
      <c r="Q47" s="152"/>
      <c r="R47" s="152"/>
      <c r="S47" s="152"/>
      <c r="T47" s="153"/>
    </row>
    <row r="48" ht="13.5" customHeight="1">
      <c r="A48" s="165"/>
      <c r="B48" s="166"/>
      <c r="C48" s="167"/>
      <c r="D48" s="168" t="s">
        <v>2644</v>
      </c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 t="s">
        <v>742</v>
      </c>
      <c r="Q48" s="152"/>
      <c r="R48" s="152"/>
      <c r="S48" s="152"/>
      <c r="T48" s="153"/>
    </row>
    <row r="49" ht="13.5" customHeight="1">
      <c r="A49" s="165"/>
      <c r="B49" s="166"/>
      <c r="C49" s="167"/>
      <c r="D49" s="168" t="s">
        <v>2645</v>
      </c>
      <c r="E49" s="169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 t="s">
        <v>742</v>
      </c>
      <c r="R49" s="152"/>
      <c r="S49" s="152"/>
      <c r="T49" s="153"/>
    </row>
    <row r="50" ht="13.5" customHeight="1">
      <c r="A50" s="165"/>
      <c r="B50" s="166"/>
      <c r="C50" s="167"/>
      <c r="D50" s="168" t="s">
        <v>2646</v>
      </c>
      <c r="E50" s="16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 t="s">
        <v>742</v>
      </c>
      <c r="S50" s="152"/>
      <c r="T50" s="153"/>
    </row>
    <row r="51" ht="13.5" customHeight="1">
      <c r="A51" s="165"/>
      <c r="B51" s="166"/>
      <c r="C51" s="167"/>
      <c r="D51" s="168" t="s">
        <v>2647</v>
      </c>
      <c r="E51" s="169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 t="s">
        <v>742</v>
      </c>
      <c r="T51" s="153"/>
    </row>
    <row r="52" ht="13.5" customHeight="1">
      <c r="A52" s="165"/>
      <c r="B52" s="166"/>
      <c r="C52" s="167"/>
      <c r="D52" s="168" t="s">
        <v>2648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3" t="s">
        <v>742</v>
      </c>
    </row>
    <row r="53" ht="13.5" customHeight="1">
      <c r="A53" s="165"/>
      <c r="B53" s="166" t="s">
        <v>854</v>
      </c>
      <c r="C53" s="167"/>
      <c r="D53" s="168"/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3"/>
    </row>
    <row r="54" ht="13.5" customHeight="1">
      <c r="A54" s="165"/>
      <c r="B54" s="170"/>
      <c r="C54" s="171"/>
      <c r="D54" s="172"/>
      <c r="E54" s="173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5"/>
    </row>
    <row r="55" ht="13.5" customHeight="1">
      <c r="A55" s="160" t="s">
        <v>865</v>
      </c>
      <c r="B55" s="176" t="s">
        <v>866</v>
      </c>
      <c r="C55" s="177"/>
      <c r="D55" s="178"/>
      <c r="E55" s="179"/>
      <c r="F55" s="180" t="s">
        <v>54</v>
      </c>
      <c r="G55" s="180" t="s">
        <v>55</v>
      </c>
      <c r="H55" s="180" t="s">
        <v>54</v>
      </c>
      <c r="I55" s="180" t="s">
        <v>55</v>
      </c>
      <c r="J55" s="180" t="s">
        <v>54</v>
      </c>
      <c r="K55" s="180" t="s">
        <v>55</v>
      </c>
      <c r="L55" s="180" t="s">
        <v>54</v>
      </c>
      <c r="M55" s="180" t="s">
        <v>54</v>
      </c>
      <c r="N55" s="180" t="s">
        <v>54</v>
      </c>
      <c r="O55" s="180" t="s">
        <v>55</v>
      </c>
      <c r="P55" s="180" t="s">
        <v>55</v>
      </c>
      <c r="Q55" s="180" t="s">
        <v>55</v>
      </c>
      <c r="R55" s="180" t="s">
        <v>55</v>
      </c>
      <c r="S55" s="180" t="s">
        <v>55</v>
      </c>
      <c r="T55" s="181" t="s">
        <v>55</v>
      </c>
    </row>
    <row r="56" ht="13.5" customHeight="1">
      <c r="A56" s="165"/>
      <c r="B56" s="182" t="s">
        <v>867</v>
      </c>
      <c r="C56" s="27"/>
      <c r="D56" s="25"/>
      <c r="E56" s="183"/>
      <c r="F56" s="184" t="s">
        <v>868</v>
      </c>
      <c r="G56" s="184" t="s">
        <v>868</v>
      </c>
      <c r="H56" s="184" t="s">
        <v>868</v>
      </c>
      <c r="I56" s="184" t="s">
        <v>868</v>
      </c>
      <c r="J56" s="184" t="s">
        <v>868</v>
      </c>
      <c r="K56" s="184" t="s">
        <v>868</v>
      </c>
      <c r="L56" s="184" t="s">
        <v>868</v>
      </c>
      <c r="M56" s="184" t="s">
        <v>868</v>
      </c>
      <c r="N56" s="184" t="s">
        <v>868</v>
      </c>
      <c r="O56" s="184" t="s">
        <v>868</v>
      </c>
      <c r="P56" s="184" t="s">
        <v>868</v>
      </c>
      <c r="Q56" s="184" t="s">
        <v>868</v>
      </c>
      <c r="R56" s="184" t="s">
        <v>868</v>
      </c>
      <c r="S56" s="184" t="s">
        <v>868</v>
      </c>
      <c r="T56" s="185" t="s">
        <v>868</v>
      </c>
    </row>
    <row r="57" ht="99.75" customHeight="1">
      <c r="A57" s="165"/>
      <c r="B57" s="186" t="s">
        <v>869</v>
      </c>
      <c r="C57" s="27"/>
      <c r="D57" s="25"/>
      <c r="E57" s="169"/>
      <c r="F57" s="187">
        <v>46308.0</v>
      </c>
      <c r="G57" s="187">
        <v>46308.0</v>
      </c>
      <c r="H57" s="187">
        <v>46308.0</v>
      </c>
      <c r="I57" s="187">
        <v>46308.0</v>
      </c>
      <c r="J57" s="187">
        <v>46308.0</v>
      </c>
      <c r="K57" s="187">
        <v>46308.0</v>
      </c>
      <c r="L57" s="187">
        <v>46308.0</v>
      </c>
      <c r="M57" s="187">
        <v>46308.0</v>
      </c>
      <c r="N57" s="187">
        <v>46308.0</v>
      </c>
      <c r="O57" s="187">
        <v>46308.0</v>
      </c>
      <c r="P57" s="187">
        <v>46308.0</v>
      </c>
      <c r="Q57" s="187">
        <v>46308.0</v>
      </c>
      <c r="R57" s="187">
        <v>46308.0</v>
      </c>
      <c r="S57" s="187">
        <v>46308.0</v>
      </c>
      <c r="T57" s="188">
        <v>46308.0</v>
      </c>
    </row>
    <row r="58" ht="72.75" customHeight="1">
      <c r="A58" s="190"/>
      <c r="B58" s="191" t="s">
        <v>870</v>
      </c>
      <c r="C58" s="192"/>
      <c r="D58" s="193"/>
      <c r="E58" s="194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6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55:D55"/>
    <mergeCell ref="B56:D56"/>
    <mergeCell ref="B57:D57"/>
    <mergeCell ref="B58:D58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2" width="3.57"/>
    <col customWidth="1" min="23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 ht="13.5" customHeight="1">
      <c r="A2" s="111" t="s">
        <v>707</v>
      </c>
      <c r="B2" s="112"/>
      <c r="C2" s="113" t="s">
        <v>580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514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  <c r="U3" s="27"/>
      <c r="V3" s="27"/>
    </row>
    <row r="4" ht="13.5" customHeight="1">
      <c r="A4" s="117" t="s">
        <v>711</v>
      </c>
      <c r="B4" s="27"/>
      <c r="C4" s="122">
        <v>200.0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</row>
    <row r="5" ht="13.5" customHeight="1">
      <c r="A5" s="117" t="s">
        <v>713</v>
      </c>
      <c r="B5" s="27"/>
      <c r="C5" s="124" t="s">
        <v>2649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</row>
    <row r="7" ht="13.5" customHeight="1">
      <c r="A7" s="129">
        <f>COUNTIF(F61:V61,"P")</f>
        <v>17</v>
      </c>
      <c r="B7" s="130"/>
      <c r="C7" s="131">
        <f>COUNTIF(F61:V61,"F")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COUNTIF(F60:V60,"N")</f>
        <v>5</v>
      </c>
      <c r="M7" s="132">
        <f>COUNTIF(F60:V60,"A")</f>
        <v>11</v>
      </c>
      <c r="N7" s="132">
        <f>COUNTIF(F60:V60,"B")</f>
        <v>1</v>
      </c>
      <c r="O7" s="133">
        <f>COUNTA(F9:V9)</f>
        <v>17</v>
      </c>
      <c r="P7" s="130"/>
      <c r="Q7" s="130"/>
      <c r="R7" s="130"/>
      <c r="S7" s="130"/>
      <c r="T7" s="130"/>
      <c r="U7" s="130"/>
      <c r="V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40" t="s">
        <v>732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7"/>
    </row>
    <row r="11" ht="13.5" customHeight="1">
      <c r="A11" s="148"/>
      <c r="B11" s="149"/>
      <c r="C11" s="150"/>
      <c r="D11" s="151" t="s">
        <v>2650</v>
      </c>
      <c r="E11" s="145"/>
      <c r="F11" s="152" t="s">
        <v>742</v>
      </c>
      <c r="G11" s="152"/>
      <c r="H11" s="152" t="s">
        <v>742</v>
      </c>
      <c r="I11" s="152" t="s">
        <v>742</v>
      </c>
      <c r="J11" s="152" t="s">
        <v>742</v>
      </c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3"/>
    </row>
    <row r="12" ht="13.5" customHeight="1">
      <c r="A12" s="148"/>
      <c r="B12" s="149"/>
      <c r="C12" s="150"/>
      <c r="D12" s="151" t="s">
        <v>2651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3"/>
    </row>
    <row r="13" ht="13.5" customHeight="1">
      <c r="A13" s="148"/>
      <c r="B13" s="149"/>
      <c r="C13" s="150"/>
      <c r="D13" s="151" t="s">
        <v>2652</v>
      </c>
      <c r="E13" s="145"/>
      <c r="F13" s="152"/>
      <c r="G13" s="152"/>
      <c r="H13" s="152"/>
      <c r="I13" s="152"/>
      <c r="J13" s="152"/>
      <c r="K13" s="152" t="s">
        <v>742</v>
      </c>
      <c r="L13" s="152"/>
      <c r="M13" s="152"/>
      <c r="N13" s="152"/>
      <c r="O13" s="152"/>
      <c r="P13" s="152"/>
      <c r="Q13" s="152"/>
      <c r="R13" s="152"/>
      <c r="S13" s="152" t="s">
        <v>742</v>
      </c>
      <c r="T13" s="152"/>
      <c r="U13" s="152"/>
      <c r="V13" s="153"/>
    </row>
    <row r="14" ht="13.5" customHeight="1">
      <c r="A14" s="148"/>
      <c r="B14" s="149"/>
      <c r="C14" s="150"/>
      <c r="D14" s="151" t="s">
        <v>2653</v>
      </c>
      <c r="E14" s="145"/>
      <c r="F14" s="152"/>
      <c r="G14" s="152"/>
      <c r="H14" s="152"/>
      <c r="I14" s="152"/>
      <c r="J14" s="152"/>
      <c r="K14" s="152"/>
      <c r="L14" s="152" t="s">
        <v>742</v>
      </c>
      <c r="M14" s="152"/>
      <c r="N14" s="152"/>
      <c r="O14" s="152"/>
      <c r="P14" s="152"/>
      <c r="Q14" s="152"/>
      <c r="R14" s="152"/>
      <c r="S14" s="152"/>
      <c r="T14" s="152"/>
      <c r="U14" s="152"/>
      <c r="V14" s="153"/>
    </row>
    <row r="15" ht="13.5" customHeight="1">
      <c r="A15" s="148"/>
      <c r="B15" s="149"/>
      <c r="C15" s="150"/>
      <c r="D15" s="151" t="s">
        <v>2654</v>
      </c>
      <c r="E15" s="145"/>
      <c r="F15" s="152"/>
      <c r="G15" s="152"/>
      <c r="H15" s="152"/>
      <c r="I15" s="152"/>
      <c r="J15" s="152"/>
      <c r="K15" s="152"/>
      <c r="L15" s="152"/>
      <c r="M15" s="152" t="s">
        <v>742</v>
      </c>
      <c r="N15" s="152"/>
      <c r="O15" s="152"/>
      <c r="P15" s="152"/>
      <c r="Q15" s="152"/>
      <c r="R15" s="152"/>
      <c r="S15" s="152"/>
      <c r="T15" s="152"/>
      <c r="U15" s="152"/>
      <c r="V15" s="153"/>
    </row>
    <row r="16" ht="13.5" customHeight="1">
      <c r="A16" s="148"/>
      <c r="B16" s="149"/>
      <c r="C16" s="150"/>
      <c r="D16" s="151" t="s">
        <v>2655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 t="s">
        <v>742</v>
      </c>
      <c r="O16" s="152"/>
      <c r="P16" s="152"/>
      <c r="Q16" s="152"/>
      <c r="R16" s="152"/>
      <c r="S16" s="152"/>
      <c r="T16" s="152"/>
      <c r="U16" s="152"/>
      <c r="V16" s="153"/>
    </row>
    <row r="17" ht="13.5" customHeight="1">
      <c r="A17" s="148"/>
      <c r="B17" s="149"/>
      <c r="C17" s="150"/>
      <c r="D17" s="151" t="s">
        <v>2656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 t="s">
        <v>742</v>
      </c>
      <c r="P17" s="152"/>
      <c r="Q17" s="152"/>
      <c r="R17" s="152"/>
      <c r="S17" s="152"/>
      <c r="T17" s="152"/>
      <c r="U17" s="152"/>
      <c r="V17" s="153"/>
    </row>
    <row r="18" ht="13.5" customHeight="1">
      <c r="A18" s="148"/>
      <c r="B18" s="149"/>
      <c r="C18" s="150"/>
      <c r="D18" s="151" t="s">
        <v>2657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 t="s">
        <v>742</v>
      </c>
      <c r="Q18" s="152"/>
      <c r="R18" s="152"/>
      <c r="S18" s="152"/>
      <c r="T18" s="152"/>
      <c r="U18" s="152"/>
      <c r="V18" s="153"/>
    </row>
    <row r="19" ht="13.5" customHeight="1">
      <c r="A19" s="148"/>
      <c r="B19" s="149"/>
      <c r="C19" s="150"/>
      <c r="D19" s="151" t="s">
        <v>2658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 t="s">
        <v>742</v>
      </c>
      <c r="R19" s="152"/>
      <c r="S19" s="152"/>
      <c r="T19" s="152"/>
      <c r="U19" s="152"/>
      <c r="V19" s="153"/>
    </row>
    <row r="20" ht="13.5" customHeight="1">
      <c r="A20" s="148"/>
      <c r="B20" s="149"/>
      <c r="C20" s="150"/>
      <c r="D20" s="151" t="s">
        <v>2659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 t="s">
        <v>742</v>
      </c>
      <c r="S20" s="152"/>
      <c r="T20" s="152"/>
      <c r="U20" s="152"/>
      <c r="V20" s="153"/>
    </row>
    <row r="21" ht="13.5" customHeight="1">
      <c r="A21" s="148"/>
      <c r="B21" s="149"/>
      <c r="C21" s="150"/>
      <c r="D21" s="151" t="s">
        <v>2660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 t="s">
        <v>742</v>
      </c>
      <c r="U21" s="152"/>
      <c r="V21" s="153"/>
    </row>
    <row r="22" ht="13.5" customHeight="1">
      <c r="A22" s="148"/>
      <c r="B22" s="149"/>
      <c r="C22" s="150"/>
      <c r="D22" s="151" t="s">
        <v>2661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 t="s">
        <v>742</v>
      </c>
      <c r="V22" s="153"/>
    </row>
    <row r="23" ht="13.5" customHeight="1">
      <c r="A23" s="148"/>
      <c r="B23" s="149"/>
      <c r="C23" s="150"/>
      <c r="D23" s="151" t="s">
        <v>2663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3" t="s">
        <v>742</v>
      </c>
    </row>
    <row r="24" ht="13.5" customHeight="1">
      <c r="A24" s="148"/>
      <c r="B24" s="149" t="s">
        <v>768</v>
      </c>
      <c r="C24" s="150"/>
      <c r="D24" s="151"/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3"/>
    </row>
    <row r="25" ht="13.5" customHeight="1">
      <c r="A25" s="148"/>
      <c r="B25" s="149"/>
      <c r="C25" s="150"/>
      <c r="D25" s="151" t="s">
        <v>2664</v>
      </c>
      <c r="E25" s="145"/>
      <c r="F25" s="152" t="s">
        <v>742</v>
      </c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3"/>
    </row>
    <row r="26" ht="13.5" customHeight="1">
      <c r="A26" s="148"/>
      <c r="B26" s="149"/>
      <c r="C26" s="150"/>
      <c r="D26" s="151" t="s">
        <v>2665</v>
      </c>
      <c r="E26" s="145"/>
      <c r="F26" s="152"/>
      <c r="G26" s="152" t="s">
        <v>742</v>
      </c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3"/>
    </row>
    <row r="27" ht="13.5" customHeight="1">
      <c r="A27" s="148"/>
      <c r="B27" s="149"/>
      <c r="C27" s="150"/>
      <c r="D27" s="151" t="s">
        <v>2666</v>
      </c>
      <c r="E27" s="145"/>
      <c r="F27" s="152"/>
      <c r="G27" s="152"/>
      <c r="H27" s="152" t="s">
        <v>742</v>
      </c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3"/>
    </row>
    <row r="28" ht="13.5" customHeight="1">
      <c r="A28" s="148"/>
      <c r="B28" s="149"/>
      <c r="C28" s="150"/>
      <c r="D28" s="151" t="s">
        <v>2667</v>
      </c>
      <c r="E28" s="145"/>
      <c r="F28" s="152"/>
      <c r="G28" s="152"/>
      <c r="H28" s="152"/>
      <c r="I28" s="152" t="s">
        <v>742</v>
      </c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3"/>
    </row>
    <row r="29" ht="13.5" customHeight="1">
      <c r="A29" s="148"/>
      <c r="B29" s="149"/>
      <c r="C29" s="150"/>
      <c r="D29" s="151" t="s">
        <v>2668</v>
      </c>
      <c r="E29" s="145"/>
      <c r="F29" s="152"/>
      <c r="G29" s="152"/>
      <c r="H29" s="152"/>
      <c r="I29" s="152"/>
      <c r="J29" s="152" t="s">
        <v>742</v>
      </c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3"/>
    </row>
    <row r="30" ht="13.5" customHeight="1">
      <c r="A30" s="148"/>
      <c r="B30" s="149"/>
      <c r="C30" s="150"/>
      <c r="D30" s="151" t="s">
        <v>2669</v>
      </c>
      <c r="E30" s="145"/>
      <c r="F30" s="152"/>
      <c r="G30" s="152"/>
      <c r="H30" s="152"/>
      <c r="I30" s="152"/>
      <c r="J30" s="152"/>
      <c r="K30" s="152" t="s">
        <v>742</v>
      </c>
      <c r="L30" s="152" t="s">
        <v>742</v>
      </c>
      <c r="M30" s="152"/>
      <c r="N30" s="152"/>
      <c r="O30" s="152"/>
      <c r="P30" s="152"/>
      <c r="Q30" s="152"/>
      <c r="R30" s="152"/>
      <c r="S30" s="152"/>
      <c r="T30" s="152"/>
      <c r="U30" s="152"/>
      <c r="V30" s="153"/>
    </row>
    <row r="31" ht="13.5" customHeight="1">
      <c r="A31" s="148"/>
      <c r="B31" s="149"/>
      <c r="C31" s="150"/>
      <c r="D31" s="151" t="s">
        <v>2670</v>
      </c>
      <c r="E31" s="145"/>
      <c r="F31" s="152"/>
      <c r="G31" s="152"/>
      <c r="H31" s="152"/>
      <c r="I31" s="152"/>
      <c r="J31" s="152"/>
      <c r="K31" s="152"/>
      <c r="L31" s="152"/>
      <c r="M31" s="152" t="s">
        <v>742</v>
      </c>
      <c r="N31" s="152"/>
      <c r="O31" s="152"/>
      <c r="P31" s="152"/>
      <c r="Q31" s="152"/>
      <c r="R31" s="152"/>
      <c r="S31" s="152"/>
      <c r="T31" s="152"/>
      <c r="U31" s="152"/>
      <c r="V31" s="153"/>
    </row>
    <row r="32" ht="13.5" customHeight="1">
      <c r="A32" s="148"/>
      <c r="B32" s="149"/>
      <c r="C32" s="150"/>
      <c r="D32" s="151" t="s">
        <v>2671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 t="s">
        <v>742</v>
      </c>
      <c r="O32" s="152" t="s">
        <v>742</v>
      </c>
      <c r="P32" s="152"/>
      <c r="Q32" s="152"/>
      <c r="R32" s="152" t="s">
        <v>742</v>
      </c>
      <c r="S32" s="152"/>
      <c r="T32" s="152"/>
      <c r="U32" s="152"/>
      <c r="V32" s="153"/>
    </row>
    <row r="33" ht="13.5" customHeight="1">
      <c r="A33" s="148"/>
      <c r="B33" s="149"/>
      <c r="C33" s="150"/>
      <c r="D33" s="151" t="s">
        <v>2672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 t="s">
        <v>742</v>
      </c>
      <c r="Q33" s="152"/>
      <c r="R33" s="152"/>
      <c r="S33" s="152"/>
      <c r="T33" s="152"/>
      <c r="U33" s="152"/>
      <c r="V33" s="153"/>
    </row>
    <row r="34" ht="13.5" customHeight="1">
      <c r="A34" s="148"/>
      <c r="B34" s="149"/>
      <c r="C34" s="150"/>
      <c r="D34" s="151" t="s">
        <v>2673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 t="s">
        <v>742</v>
      </c>
      <c r="R34" s="152"/>
      <c r="S34" s="152"/>
      <c r="T34" s="152"/>
      <c r="U34" s="152"/>
      <c r="V34" s="153"/>
    </row>
    <row r="35" ht="13.5" customHeight="1">
      <c r="A35" s="148"/>
      <c r="B35" s="149"/>
      <c r="C35" s="150"/>
      <c r="D35" s="151" t="s">
        <v>2674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 t="s">
        <v>742</v>
      </c>
      <c r="T35" s="152" t="s">
        <v>742</v>
      </c>
      <c r="U35" s="152"/>
      <c r="V35" s="153"/>
    </row>
    <row r="36" ht="13.5" customHeight="1">
      <c r="A36" s="148"/>
      <c r="B36" s="149"/>
      <c r="C36" s="150"/>
      <c r="D36" s="151" t="s">
        <v>2675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 t="s">
        <v>742</v>
      </c>
      <c r="V36" s="153"/>
    </row>
    <row r="37" ht="13.5" customHeight="1">
      <c r="A37" s="148"/>
      <c r="B37" s="149"/>
      <c r="C37" s="150"/>
      <c r="D37" s="151" t="s">
        <v>2676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3" t="s">
        <v>742</v>
      </c>
    </row>
    <row r="38" ht="13.5" customHeight="1">
      <c r="A38" s="148"/>
      <c r="B38" s="154"/>
      <c r="C38" s="155"/>
      <c r="D38" s="156"/>
      <c r="E38" s="157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9"/>
    </row>
    <row r="39" ht="13.5" customHeight="1">
      <c r="A39" s="160" t="s">
        <v>802</v>
      </c>
      <c r="B39" s="161" t="s">
        <v>804</v>
      </c>
      <c r="C39" s="162"/>
      <c r="D39" s="163"/>
      <c r="E39" s="164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7"/>
    </row>
    <row r="40" ht="13.5" customHeight="1">
      <c r="A40" s="165"/>
      <c r="B40" s="166"/>
      <c r="C40" s="167"/>
      <c r="D40" s="168" t="s">
        <v>2682</v>
      </c>
      <c r="E40" s="169"/>
      <c r="F40" s="152" t="s">
        <v>742</v>
      </c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3"/>
    </row>
    <row r="41" ht="13.5" customHeight="1">
      <c r="A41" s="165"/>
      <c r="B41" s="166"/>
      <c r="C41" s="167"/>
      <c r="D41" s="168" t="s">
        <v>2684</v>
      </c>
      <c r="E41" s="169"/>
      <c r="F41" s="152"/>
      <c r="G41" s="152" t="s">
        <v>742</v>
      </c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3"/>
    </row>
    <row r="42" ht="13.5" customHeight="1">
      <c r="A42" s="165"/>
      <c r="B42" s="166"/>
      <c r="C42" s="167"/>
      <c r="D42" s="168" t="s">
        <v>2686</v>
      </c>
      <c r="E42" s="169"/>
      <c r="F42" s="152"/>
      <c r="G42" s="152"/>
      <c r="H42" s="152" t="s">
        <v>742</v>
      </c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3"/>
    </row>
    <row r="43" ht="13.5" customHeight="1">
      <c r="A43" s="165"/>
      <c r="B43" s="166"/>
      <c r="C43" s="167"/>
      <c r="D43" s="168" t="s">
        <v>2688</v>
      </c>
      <c r="E43" s="169"/>
      <c r="F43" s="152"/>
      <c r="G43" s="152"/>
      <c r="H43" s="152"/>
      <c r="I43" s="152"/>
      <c r="J43" s="152"/>
      <c r="K43" s="152"/>
      <c r="L43" s="152"/>
      <c r="M43" s="152"/>
      <c r="N43" s="152" t="s">
        <v>742</v>
      </c>
      <c r="O43" s="152"/>
      <c r="P43" s="152"/>
      <c r="Q43" s="152"/>
      <c r="R43" s="152"/>
      <c r="S43" s="152"/>
      <c r="T43" s="152"/>
      <c r="U43" s="152"/>
      <c r="V43" s="153"/>
    </row>
    <row r="44" ht="13.5" customHeight="1">
      <c r="A44" s="165"/>
      <c r="B44" s="166"/>
      <c r="C44" s="167"/>
      <c r="D44" s="168" t="s">
        <v>2690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 t="s">
        <v>742</v>
      </c>
      <c r="P44" s="152"/>
      <c r="Q44" s="152"/>
      <c r="R44" s="152"/>
      <c r="S44" s="152"/>
      <c r="T44" s="152"/>
      <c r="U44" s="152"/>
      <c r="V44" s="153"/>
    </row>
    <row r="45" ht="13.5" customHeight="1">
      <c r="A45" s="165"/>
      <c r="B45" s="166"/>
      <c r="C45" s="167"/>
      <c r="D45" s="168" t="s">
        <v>2692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 t="s">
        <v>742</v>
      </c>
      <c r="T45" s="152"/>
      <c r="U45" s="152"/>
      <c r="V45" s="153"/>
    </row>
    <row r="46" ht="13.5" customHeight="1">
      <c r="A46" s="165"/>
      <c r="B46" s="166" t="s">
        <v>825</v>
      </c>
      <c r="C46" s="167"/>
      <c r="D46" s="168"/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3"/>
    </row>
    <row r="47" ht="13.5" customHeight="1">
      <c r="A47" s="165"/>
      <c r="B47" s="166"/>
      <c r="C47" s="167"/>
      <c r="D47" s="168" t="s">
        <v>2696</v>
      </c>
      <c r="E47" s="169"/>
      <c r="F47" s="152"/>
      <c r="G47" s="152"/>
      <c r="H47" s="152"/>
      <c r="I47" s="152" t="s">
        <v>742</v>
      </c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3"/>
    </row>
    <row r="48" ht="13.5" customHeight="1">
      <c r="A48" s="165"/>
      <c r="B48" s="166"/>
      <c r="C48" s="167"/>
      <c r="D48" s="168" t="s">
        <v>2698</v>
      </c>
      <c r="E48" s="169"/>
      <c r="F48" s="152"/>
      <c r="G48" s="152"/>
      <c r="H48" s="152"/>
      <c r="I48" s="152"/>
      <c r="J48" s="152" t="s">
        <v>742</v>
      </c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3"/>
    </row>
    <row r="49" ht="13.5" customHeight="1">
      <c r="A49" s="165"/>
      <c r="B49" s="166"/>
      <c r="C49" s="167"/>
      <c r="D49" s="168" t="s">
        <v>2699</v>
      </c>
      <c r="E49" s="169"/>
      <c r="F49" s="152"/>
      <c r="G49" s="152"/>
      <c r="H49" s="152"/>
      <c r="I49" s="152"/>
      <c r="J49" s="152"/>
      <c r="K49" s="152" t="s">
        <v>742</v>
      </c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3"/>
    </row>
    <row r="50" ht="13.5" customHeight="1">
      <c r="A50" s="165"/>
      <c r="B50" s="166"/>
      <c r="C50" s="167"/>
      <c r="D50" s="168" t="s">
        <v>2701</v>
      </c>
      <c r="E50" s="169"/>
      <c r="F50" s="152"/>
      <c r="G50" s="152"/>
      <c r="H50" s="152"/>
      <c r="I50" s="152"/>
      <c r="J50" s="152"/>
      <c r="K50" s="152"/>
      <c r="L50" s="152" t="s">
        <v>742</v>
      </c>
      <c r="M50" s="152"/>
      <c r="N50" s="152"/>
      <c r="O50" s="152"/>
      <c r="P50" s="152"/>
      <c r="Q50" s="152"/>
      <c r="R50" s="152"/>
      <c r="S50" s="152"/>
      <c r="T50" s="152"/>
      <c r="U50" s="152"/>
      <c r="V50" s="153"/>
    </row>
    <row r="51" ht="13.5" customHeight="1">
      <c r="A51" s="165"/>
      <c r="B51" s="166"/>
      <c r="C51" s="167"/>
      <c r="D51" s="168" t="s">
        <v>2702</v>
      </c>
      <c r="E51" s="169"/>
      <c r="F51" s="152"/>
      <c r="G51" s="152"/>
      <c r="H51" s="152"/>
      <c r="I51" s="152"/>
      <c r="J51" s="152"/>
      <c r="K51" s="152"/>
      <c r="L51" s="152"/>
      <c r="M51" s="152" t="s">
        <v>742</v>
      </c>
      <c r="N51" s="152"/>
      <c r="O51" s="152"/>
      <c r="P51" s="152"/>
      <c r="Q51" s="152"/>
      <c r="R51" s="152"/>
      <c r="S51" s="152"/>
      <c r="T51" s="152"/>
      <c r="U51" s="152"/>
      <c r="V51" s="153"/>
    </row>
    <row r="52" ht="13.5" customHeight="1">
      <c r="A52" s="165"/>
      <c r="B52" s="166"/>
      <c r="C52" s="167"/>
      <c r="D52" s="168" t="s">
        <v>2705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 t="s">
        <v>742</v>
      </c>
      <c r="Q52" s="152"/>
      <c r="R52" s="152"/>
      <c r="S52" s="152"/>
      <c r="T52" s="152"/>
      <c r="U52" s="152"/>
      <c r="V52" s="153"/>
    </row>
    <row r="53" ht="13.5" customHeight="1">
      <c r="A53" s="165"/>
      <c r="B53" s="166"/>
      <c r="C53" s="167"/>
      <c r="D53" s="168" t="s">
        <v>2707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 t="s">
        <v>742</v>
      </c>
      <c r="R53" s="152"/>
      <c r="S53" s="152"/>
      <c r="T53" s="152"/>
      <c r="U53" s="152"/>
      <c r="V53" s="153"/>
    </row>
    <row r="54" ht="13.5" customHeight="1">
      <c r="A54" s="165"/>
      <c r="B54" s="166"/>
      <c r="C54" s="167"/>
      <c r="D54" s="168" t="s">
        <v>2708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 t="s">
        <v>742</v>
      </c>
      <c r="S54" s="152"/>
      <c r="T54" s="152"/>
      <c r="U54" s="152"/>
      <c r="V54" s="153"/>
    </row>
    <row r="55" ht="13.5" customHeight="1">
      <c r="A55" s="165"/>
      <c r="B55" s="166"/>
      <c r="C55" s="167"/>
      <c r="D55" s="168" t="s">
        <v>2711</v>
      </c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 t="s">
        <v>742</v>
      </c>
      <c r="U55" s="152"/>
      <c r="V55" s="153"/>
    </row>
    <row r="56" ht="13.5" customHeight="1">
      <c r="A56" s="165"/>
      <c r="B56" s="166"/>
      <c r="C56" s="167"/>
      <c r="D56" s="168" t="s">
        <v>2714</v>
      </c>
      <c r="E56" s="16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 t="s">
        <v>742</v>
      </c>
      <c r="V56" s="153"/>
    </row>
    <row r="57" ht="13.5" customHeight="1">
      <c r="A57" s="165"/>
      <c r="B57" s="166"/>
      <c r="C57" s="167"/>
      <c r="D57" s="168" t="s">
        <v>2717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3" t="s">
        <v>742</v>
      </c>
    </row>
    <row r="58" ht="13.5" customHeight="1">
      <c r="A58" s="165"/>
      <c r="B58" s="166" t="s">
        <v>854</v>
      </c>
      <c r="C58" s="167"/>
      <c r="D58" s="168"/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3"/>
    </row>
    <row r="59" ht="13.5" customHeight="1">
      <c r="A59" s="165"/>
      <c r="B59" s="170"/>
      <c r="C59" s="171"/>
      <c r="D59" s="172"/>
      <c r="E59" s="173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5"/>
    </row>
    <row r="60" ht="13.5" customHeight="1">
      <c r="A60" s="160" t="s">
        <v>865</v>
      </c>
      <c r="B60" s="176" t="s">
        <v>866</v>
      </c>
      <c r="C60" s="177"/>
      <c r="D60" s="178"/>
      <c r="E60" s="179"/>
      <c r="F60" s="180" t="s">
        <v>54</v>
      </c>
      <c r="G60" s="180" t="s">
        <v>54</v>
      </c>
      <c r="H60" s="180" t="s">
        <v>57</v>
      </c>
      <c r="I60" s="180" t="s">
        <v>55</v>
      </c>
      <c r="J60" s="180" t="s">
        <v>55</v>
      </c>
      <c r="K60" s="180" t="s">
        <v>55</v>
      </c>
      <c r="L60" s="180" t="s">
        <v>55</v>
      </c>
      <c r="M60" s="180" t="s">
        <v>55</v>
      </c>
      <c r="N60" s="180" t="s">
        <v>54</v>
      </c>
      <c r="O60" s="180" t="s">
        <v>54</v>
      </c>
      <c r="P60" s="180" t="s">
        <v>55</v>
      </c>
      <c r="Q60" s="180" t="s">
        <v>55</v>
      </c>
      <c r="R60" s="180" t="s">
        <v>55</v>
      </c>
      <c r="S60" s="180" t="s">
        <v>54</v>
      </c>
      <c r="T60" s="180" t="s">
        <v>55</v>
      </c>
      <c r="U60" s="180" t="s">
        <v>55</v>
      </c>
      <c r="V60" s="181" t="s">
        <v>55</v>
      </c>
    </row>
    <row r="61" ht="13.5" customHeight="1">
      <c r="A61" s="165"/>
      <c r="B61" s="182" t="s">
        <v>867</v>
      </c>
      <c r="C61" s="27"/>
      <c r="D61" s="25"/>
      <c r="E61" s="183"/>
      <c r="F61" s="184" t="s">
        <v>868</v>
      </c>
      <c r="G61" s="184" t="s">
        <v>868</v>
      </c>
      <c r="H61" s="184" t="s">
        <v>868</v>
      </c>
      <c r="I61" s="184" t="s">
        <v>868</v>
      </c>
      <c r="J61" s="184" t="s">
        <v>868</v>
      </c>
      <c r="K61" s="184" t="s">
        <v>868</v>
      </c>
      <c r="L61" s="184" t="s">
        <v>868</v>
      </c>
      <c r="M61" s="184" t="s">
        <v>868</v>
      </c>
      <c r="N61" s="184" t="s">
        <v>868</v>
      </c>
      <c r="O61" s="184" t="s">
        <v>868</v>
      </c>
      <c r="P61" s="184" t="s">
        <v>868</v>
      </c>
      <c r="Q61" s="184" t="s">
        <v>868</v>
      </c>
      <c r="R61" s="184" t="s">
        <v>868</v>
      </c>
      <c r="S61" s="184" t="s">
        <v>868</v>
      </c>
      <c r="T61" s="184" t="s">
        <v>868</v>
      </c>
      <c r="U61" s="184" t="s">
        <v>868</v>
      </c>
      <c r="V61" s="185" t="s">
        <v>868</v>
      </c>
    </row>
    <row r="62" ht="99.75" customHeight="1">
      <c r="A62" s="165"/>
      <c r="B62" s="186" t="s">
        <v>869</v>
      </c>
      <c r="C62" s="27"/>
      <c r="D62" s="25"/>
      <c r="E62" s="169"/>
      <c r="F62" s="187">
        <v>46307.0</v>
      </c>
      <c r="G62" s="187">
        <v>46307.0</v>
      </c>
      <c r="H62" s="187">
        <v>46307.0</v>
      </c>
      <c r="I62" s="187">
        <v>46307.0</v>
      </c>
      <c r="J62" s="187">
        <v>46307.0</v>
      </c>
      <c r="K62" s="187">
        <v>46307.0</v>
      </c>
      <c r="L62" s="187">
        <v>46307.0</v>
      </c>
      <c r="M62" s="187">
        <v>46307.0</v>
      </c>
      <c r="N62" s="187">
        <v>46307.0</v>
      </c>
      <c r="O62" s="187">
        <v>46307.0</v>
      </c>
      <c r="P62" s="187">
        <v>46307.0</v>
      </c>
      <c r="Q62" s="187">
        <v>46307.0</v>
      </c>
      <c r="R62" s="187">
        <v>46307.0</v>
      </c>
      <c r="S62" s="187">
        <v>46307.0</v>
      </c>
      <c r="T62" s="187">
        <v>46307.0</v>
      </c>
      <c r="U62" s="187">
        <v>46307.0</v>
      </c>
      <c r="V62" s="188">
        <v>46307.0</v>
      </c>
    </row>
    <row r="63" ht="72.75" customHeight="1">
      <c r="A63" s="190"/>
      <c r="B63" s="191" t="s">
        <v>870</v>
      </c>
      <c r="C63" s="192"/>
      <c r="D63" s="193"/>
      <c r="E63" s="194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6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V4"/>
    <mergeCell ref="C5:V5"/>
    <mergeCell ref="A2:B2"/>
    <mergeCell ref="C2:E2"/>
    <mergeCell ref="F2:K2"/>
    <mergeCell ref="L2:V2"/>
    <mergeCell ref="C3:E3"/>
    <mergeCell ref="F3:K3"/>
    <mergeCell ref="L3:V3"/>
    <mergeCell ref="F6:K6"/>
    <mergeCell ref="L6:N6"/>
    <mergeCell ref="O6:V6"/>
    <mergeCell ref="A7:B7"/>
    <mergeCell ref="C7:E7"/>
    <mergeCell ref="F7:K7"/>
    <mergeCell ref="O7:V7"/>
    <mergeCell ref="B60:D60"/>
    <mergeCell ref="B61:D61"/>
    <mergeCell ref="B62:D62"/>
    <mergeCell ref="B63:D63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593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517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292.0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2662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COUNTIF(F51:T51,"P")</f>
        <v>13</v>
      </c>
      <c r="B7" s="130"/>
      <c r="C7" s="131">
        <f>COUNTIF(F51:T51,"F")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COUNTIF(F50:T50,"N")</f>
        <v>6</v>
      </c>
      <c r="M7" s="132">
        <f>COUNTIF(F50:T50,"A")</f>
        <v>7</v>
      </c>
      <c r="N7" s="132">
        <f>COUNTIF(F50:T50,"B")</f>
        <v>0</v>
      </c>
      <c r="O7" s="133">
        <f>COUNTA(F9:T9)</f>
        <v>13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2677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2679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2660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2681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2683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2685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2687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2689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2691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2693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 t="s">
        <v>742</v>
      </c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2694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 t="s">
        <v>742</v>
      </c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2695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 t="s">
        <v>742</v>
      </c>
      <c r="R22" s="152"/>
      <c r="S22" s="152"/>
      <c r="T22" s="153"/>
    </row>
    <row r="23" ht="13.5" customHeight="1">
      <c r="A23" s="148"/>
      <c r="B23" s="149"/>
      <c r="C23" s="150"/>
      <c r="D23" s="151" t="s">
        <v>2697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 t="s">
        <v>742</v>
      </c>
      <c r="S23" s="152"/>
      <c r="T23" s="153"/>
    </row>
    <row r="24" ht="13.5" customHeight="1">
      <c r="A24" s="148"/>
      <c r="B24" s="149" t="s">
        <v>768</v>
      </c>
      <c r="C24" s="150"/>
      <c r="D24" s="151"/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2700</v>
      </c>
      <c r="E25" s="145"/>
      <c r="F25" s="152" t="s">
        <v>742</v>
      </c>
      <c r="G25" s="152" t="s">
        <v>742</v>
      </c>
      <c r="H25" s="152"/>
      <c r="I25" s="152" t="s">
        <v>742</v>
      </c>
      <c r="J25" s="152" t="s">
        <v>742</v>
      </c>
      <c r="K25" s="152" t="s">
        <v>742</v>
      </c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2703</v>
      </c>
      <c r="E26" s="145"/>
      <c r="F26" s="152"/>
      <c r="G26" s="152"/>
      <c r="H26" s="152" t="s">
        <v>742</v>
      </c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2704</v>
      </c>
      <c r="E27" s="145"/>
      <c r="F27" s="152"/>
      <c r="G27" s="152"/>
      <c r="H27" s="152"/>
      <c r="I27" s="152"/>
      <c r="J27" s="152"/>
      <c r="K27" s="152"/>
      <c r="L27" s="152" t="s">
        <v>742</v>
      </c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2706</v>
      </c>
      <c r="E28" s="145"/>
      <c r="F28" s="152"/>
      <c r="G28" s="152"/>
      <c r="H28" s="152"/>
      <c r="I28" s="152"/>
      <c r="J28" s="152"/>
      <c r="K28" s="152"/>
      <c r="L28" s="152"/>
      <c r="M28" s="152" t="s">
        <v>742</v>
      </c>
      <c r="N28" s="152"/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2710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 t="s">
        <v>742</v>
      </c>
      <c r="O29" s="152" t="s">
        <v>742</v>
      </c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2712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 t="s">
        <v>742</v>
      </c>
      <c r="Q30" s="152" t="s">
        <v>742</v>
      </c>
      <c r="R30" s="152"/>
      <c r="S30" s="152"/>
      <c r="T30" s="153"/>
    </row>
    <row r="31" ht="13.5" customHeight="1">
      <c r="A31" s="148"/>
      <c r="B31" s="149"/>
      <c r="C31" s="150"/>
      <c r="D31" s="151" t="s">
        <v>2715</v>
      </c>
      <c r="E31" s="145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 t="s">
        <v>742</v>
      </c>
      <c r="S31" s="152"/>
      <c r="T31" s="153"/>
    </row>
    <row r="32" ht="13.5" customHeight="1">
      <c r="A32" s="148"/>
      <c r="B32" s="154"/>
      <c r="C32" s="155"/>
      <c r="D32" s="156"/>
      <c r="E32" s="157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9"/>
    </row>
    <row r="33" ht="13.5" customHeight="1">
      <c r="A33" s="160" t="s">
        <v>802</v>
      </c>
      <c r="B33" s="161" t="s">
        <v>804</v>
      </c>
      <c r="C33" s="162"/>
      <c r="D33" s="163"/>
      <c r="E33" s="164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7"/>
    </row>
    <row r="34" ht="13.5" customHeight="1">
      <c r="A34" s="165"/>
      <c r="B34" s="166"/>
      <c r="C34" s="167"/>
      <c r="D34" s="168" t="s">
        <v>2720</v>
      </c>
      <c r="E34" s="169"/>
      <c r="F34" s="152" t="s">
        <v>742</v>
      </c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2723</v>
      </c>
      <c r="E35" s="169"/>
      <c r="F35" s="152"/>
      <c r="G35" s="152" t="s">
        <v>742</v>
      </c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2725</v>
      </c>
      <c r="E36" s="169"/>
      <c r="F36" s="152"/>
      <c r="G36" s="152"/>
      <c r="H36" s="152"/>
      <c r="I36" s="152"/>
      <c r="J36" s="152"/>
      <c r="K36" s="152"/>
      <c r="L36" s="152" t="s">
        <v>742</v>
      </c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2727</v>
      </c>
      <c r="E37" s="169"/>
      <c r="F37" s="152"/>
      <c r="G37" s="152"/>
      <c r="H37" s="152"/>
      <c r="I37" s="152"/>
      <c r="J37" s="152"/>
      <c r="K37" s="152"/>
      <c r="L37" s="152"/>
      <c r="M37" s="152"/>
      <c r="N37" s="152" t="s">
        <v>742</v>
      </c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2728</v>
      </c>
      <c r="E38" s="169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 t="s">
        <v>742</v>
      </c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2729</v>
      </c>
      <c r="E39" s="169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 t="s">
        <v>742</v>
      </c>
      <c r="R39" s="152"/>
      <c r="S39" s="152"/>
      <c r="T39" s="153"/>
    </row>
    <row r="40" ht="13.5" customHeight="1">
      <c r="A40" s="165"/>
      <c r="B40" s="166" t="s">
        <v>825</v>
      </c>
      <c r="C40" s="167"/>
      <c r="D40" s="168"/>
      <c r="E40" s="169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2732</v>
      </c>
      <c r="E41" s="169"/>
      <c r="F41" s="152"/>
      <c r="G41" s="152"/>
      <c r="H41" s="152" t="s">
        <v>742</v>
      </c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2735</v>
      </c>
      <c r="E42" s="169"/>
      <c r="F42" s="152"/>
      <c r="G42" s="152"/>
      <c r="H42" s="152"/>
      <c r="I42" s="152" t="s">
        <v>742</v>
      </c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2736</v>
      </c>
      <c r="E43" s="169"/>
      <c r="F43" s="152"/>
      <c r="G43" s="152"/>
      <c r="H43" s="152"/>
      <c r="I43" s="152"/>
      <c r="J43" s="152" t="s">
        <v>742</v>
      </c>
      <c r="K43" s="152"/>
      <c r="L43" s="152"/>
      <c r="M43" s="152"/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2739</v>
      </c>
      <c r="E44" s="169"/>
      <c r="F44" s="152"/>
      <c r="G44" s="152"/>
      <c r="H44" s="152"/>
      <c r="I44" s="152"/>
      <c r="J44" s="152"/>
      <c r="K44" s="152" t="s">
        <v>742</v>
      </c>
      <c r="L44" s="152"/>
      <c r="M44" s="152"/>
      <c r="N44" s="152"/>
      <c r="O44" s="152"/>
      <c r="P44" s="152"/>
      <c r="Q44" s="152"/>
      <c r="R44" s="152"/>
      <c r="S44" s="152"/>
      <c r="T44" s="153"/>
    </row>
    <row r="45" ht="13.5" customHeight="1">
      <c r="A45" s="165"/>
      <c r="B45" s="166"/>
      <c r="C45" s="167"/>
      <c r="D45" s="168" t="s">
        <v>2741</v>
      </c>
      <c r="E45" s="169"/>
      <c r="F45" s="152"/>
      <c r="G45" s="152"/>
      <c r="H45" s="152"/>
      <c r="I45" s="152"/>
      <c r="J45" s="152"/>
      <c r="K45" s="152"/>
      <c r="L45" s="152"/>
      <c r="M45" s="152" t="s">
        <v>742</v>
      </c>
      <c r="N45" s="152"/>
      <c r="O45" s="152"/>
      <c r="P45" s="152"/>
      <c r="Q45" s="152"/>
      <c r="R45" s="152"/>
      <c r="S45" s="152"/>
      <c r="T45" s="153"/>
    </row>
    <row r="46" ht="13.5" customHeight="1">
      <c r="A46" s="165"/>
      <c r="B46" s="166"/>
      <c r="C46" s="167"/>
      <c r="D46" s="168" t="s">
        <v>2743</v>
      </c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 t="s">
        <v>742</v>
      </c>
      <c r="P46" s="152"/>
      <c r="Q46" s="152"/>
      <c r="R46" s="152"/>
      <c r="S46" s="152"/>
      <c r="T46" s="153"/>
    </row>
    <row r="47" ht="13.5" customHeight="1">
      <c r="A47" s="165"/>
      <c r="B47" s="166"/>
      <c r="C47" s="167"/>
      <c r="D47" s="168" t="s">
        <v>2744</v>
      </c>
      <c r="E47" s="169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 t="s">
        <v>742</v>
      </c>
      <c r="S47" s="152"/>
      <c r="T47" s="153"/>
    </row>
    <row r="48" ht="13.5" customHeight="1">
      <c r="A48" s="165"/>
      <c r="B48" s="166" t="s">
        <v>854</v>
      </c>
      <c r="C48" s="167"/>
      <c r="D48" s="168"/>
      <c r="E48" s="16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3"/>
    </row>
    <row r="49" ht="13.5" customHeight="1">
      <c r="A49" s="165"/>
      <c r="B49" s="170"/>
      <c r="C49" s="171"/>
      <c r="D49" s="172"/>
      <c r="E49" s="173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5"/>
    </row>
    <row r="50" ht="13.5" customHeight="1">
      <c r="A50" s="160" t="s">
        <v>865</v>
      </c>
      <c r="B50" s="176" t="s">
        <v>866</v>
      </c>
      <c r="C50" s="177"/>
      <c r="D50" s="178"/>
      <c r="E50" s="179"/>
      <c r="F50" s="180" t="s">
        <v>54</v>
      </c>
      <c r="G50" s="180" t="s">
        <v>54</v>
      </c>
      <c r="H50" s="180" t="s">
        <v>55</v>
      </c>
      <c r="I50" s="180" t="s">
        <v>55</v>
      </c>
      <c r="J50" s="180" t="s">
        <v>55</v>
      </c>
      <c r="K50" s="180" t="s">
        <v>55</v>
      </c>
      <c r="L50" s="180" t="s">
        <v>54</v>
      </c>
      <c r="M50" s="180" t="s">
        <v>55</v>
      </c>
      <c r="N50" s="180" t="s">
        <v>54</v>
      </c>
      <c r="O50" s="180" t="s">
        <v>55</v>
      </c>
      <c r="P50" s="180" t="s">
        <v>54</v>
      </c>
      <c r="Q50" s="180" t="s">
        <v>54</v>
      </c>
      <c r="R50" s="180" t="s">
        <v>55</v>
      </c>
      <c r="S50" s="180"/>
      <c r="T50" s="181"/>
    </row>
    <row r="51" ht="13.5" customHeight="1">
      <c r="A51" s="165"/>
      <c r="B51" s="182" t="s">
        <v>867</v>
      </c>
      <c r="C51" s="27"/>
      <c r="D51" s="25"/>
      <c r="E51" s="183"/>
      <c r="F51" s="184" t="s">
        <v>868</v>
      </c>
      <c r="G51" s="184" t="s">
        <v>868</v>
      </c>
      <c r="H51" s="184" t="s">
        <v>868</v>
      </c>
      <c r="I51" s="184" t="s">
        <v>868</v>
      </c>
      <c r="J51" s="184" t="s">
        <v>868</v>
      </c>
      <c r="K51" s="184" t="s">
        <v>868</v>
      </c>
      <c r="L51" s="184" t="s">
        <v>868</v>
      </c>
      <c r="M51" s="184" t="s">
        <v>868</v>
      </c>
      <c r="N51" s="184" t="s">
        <v>868</v>
      </c>
      <c r="O51" s="184" t="s">
        <v>868</v>
      </c>
      <c r="P51" s="184" t="s">
        <v>868</v>
      </c>
      <c r="Q51" s="184" t="s">
        <v>868</v>
      </c>
      <c r="R51" s="184" t="s">
        <v>868</v>
      </c>
      <c r="S51" s="184"/>
      <c r="T51" s="185"/>
    </row>
    <row r="52" ht="99.75" customHeight="1">
      <c r="A52" s="165"/>
      <c r="B52" s="186" t="s">
        <v>869</v>
      </c>
      <c r="C52" s="27"/>
      <c r="D52" s="25"/>
      <c r="E52" s="169"/>
      <c r="F52" s="187">
        <v>46307.0</v>
      </c>
      <c r="G52" s="187">
        <v>46307.0</v>
      </c>
      <c r="H52" s="187">
        <v>46307.0</v>
      </c>
      <c r="I52" s="187">
        <v>46307.0</v>
      </c>
      <c r="J52" s="187">
        <v>46307.0</v>
      </c>
      <c r="K52" s="187">
        <v>46307.0</v>
      </c>
      <c r="L52" s="187">
        <v>46307.0</v>
      </c>
      <c r="M52" s="187">
        <v>46307.0</v>
      </c>
      <c r="N52" s="187">
        <v>46307.0</v>
      </c>
      <c r="O52" s="187">
        <v>46307.0</v>
      </c>
      <c r="P52" s="187">
        <v>46307.0</v>
      </c>
      <c r="Q52" s="187">
        <v>46307.0</v>
      </c>
      <c r="R52" s="187">
        <v>46307.0</v>
      </c>
      <c r="S52" s="187"/>
      <c r="T52" s="188"/>
    </row>
    <row r="53" ht="72.75" customHeight="1">
      <c r="A53" s="190"/>
      <c r="B53" s="191" t="s">
        <v>870</v>
      </c>
      <c r="C53" s="192"/>
      <c r="D53" s="193"/>
      <c r="E53" s="194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6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50:D50"/>
    <mergeCell ref="B51:D51"/>
    <mergeCell ref="B52:D52"/>
    <mergeCell ref="B53:D53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1" width="3.57"/>
    <col customWidth="1" min="22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ht="13.5" customHeight="1">
      <c r="A2" s="111" t="s">
        <v>707</v>
      </c>
      <c r="B2" s="112"/>
      <c r="C2" s="113" t="s">
        <v>604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527</v>
      </c>
      <c r="M2" s="115"/>
      <c r="N2" s="115"/>
      <c r="O2" s="115"/>
      <c r="P2" s="115"/>
      <c r="Q2" s="115"/>
      <c r="R2" s="115"/>
      <c r="S2" s="115"/>
      <c r="T2" s="115"/>
      <c r="U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  <c r="U3" s="27"/>
    </row>
    <row r="4" ht="13.5" customHeight="1">
      <c r="A4" s="117" t="s">
        <v>711</v>
      </c>
      <c r="B4" s="27"/>
      <c r="C4" s="122">
        <v>341.0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</row>
    <row r="5" ht="13.5" customHeight="1">
      <c r="A5" s="117" t="s">
        <v>713</v>
      </c>
      <c r="B5" s="27"/>
      <c r="C5" s="124" t="s">
        <v>2678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</row>
    <row r="7" ht="13.5" customHeight="1">
      <c r="A7" s="129">
        <f>COUNTIF(F59:U59,"P")</f>
        <v>16</v>
      </c>
      <c r="B7" s="130"/>
      <c r="C7" s="131">
        <f>COUNTIF(F59:U59,"F")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COUNTIF(F58:U58,"N")</f>
        <v>6</v>
      </c>
      <c r="M7" s="132">
        <f>COUNTIF(F58:U58,"A")</f>
        <v>9</v>
      </c>
      <c r="N7" s="132">
        <f>COUNTIF(F58:U58,"B")</f>
        <v>1</v>
      </c>
      <c r="O7" s="133">
        <f>COUNTA(F9:U9)</f>
        <v>16</v>
      </c>
      <c r="P7" s="130"/>
      <c r="Q7" s="130"/>
      <c r="R7" s="130"/>
      <c r="S7" s="130"/>
      <c r="T7" s="130"/>
      <c r="U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40" t="s">
        <v>731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7"/>
    </row>
    <row r="11" ht="13.5" customHeight="1">
      <c r="A11" s="148"/>
      <c r="B11" s="149"/>
      <c r="C11" s="150"/>
      <c r="D11" s="151" t="s">
        <v>2709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3"/>
    </row>
    <row r="12" ht="13.5" customHeight="1">
      <c r="A12" s="148"/>
      <c r="B12" s="149"/>
      <c r="C12" s="150"/>
      <c r="D12" s="151" t="s">
        <v>2713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3"/>
    </row>
    <row r="13" ht="13.5" customHeight="1">
      <c r="A13" s="148"/>
      <c r="B13" s="149"/>
      <c r="C13" s="150"/>
      <c r="D13" s="151" t="s">
        <v>2716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3"/>
    </row>
    <row r="14" ht="13.5" customHeight="1">
      <c r="A14" s="148"/>
      <c r="B14" s="149"/>
      <c r="C14" s="150"/>
      <c r="D14" s="151" t="s">
        <v>2718</v>
      </c>
      <c r="E14" s="145"/>
      <c r="F14" s="152"/>
      <c r="G14" s="152"/>
      <c r="H14" s="152"/>
      <c r="I14" s="152" t="s">
        <v>742</v>
      </c>
      <c r="J14" s="152" t="s">
        <v>742</v>
      </c>
      <c r="K14" s="152" t="s">
        <v>742</v>
      </c>
      <c r="L14" s="152"/>
      <c r="M14" s="152"/>
      <c r="N14" s="152"/>
      <c r="O14" s="152"/>
      <c r="P14" s="152"/>
      <c r="Q14" s="152"/>
      <c r="R14" s="152"/>
      <c r="S14" s="152"/>
      <c r="T14" s="152"/>
      <c r="U14" s="153"/>
    </row>
    <row r="15" ht="13.5" customHeight="1">
      <c r="A15" s="148"/>
      <c r="B15" s="149"/>
      <c r="C15" s="150"/>
      <c r="D15" s="151" t="s">
        <v>2652</v>
      </c>
      <c r="E15" s="145"/>
      <c r="F15" s="152"/>
      <c r="G15" s="152"/>
      <c r="H15" s="152"/>
      <c r="I15" s="152"/>
      <c r="J15" s="152"/>
      <c r="K15" s="152"/>
      <c r="L15" s="152" t="s">
        <v>742</v>
      </c>
      <c r="M15" s="152"/>
      <c r="N15" s="152"/>
      <c r="O15" s="152"/>
      <c r="P15" s="152"/>
      <c r="Q15" s="152"/>
      <c r="R15" s="152"/>
      <c r="S15" s="152"/>
      <c r="T15" s="152"/>
      <c r="U15" s="153"/>
    </row>
    <row r="16" ht="13.5" customHeight="1">
      <c r="A16" s="148"/>
      <c r="B16" s="149"/>
      <c r="C16" s="150"/>
      <c r="D16" s="151" t="s">
        <v>2719</v>
      </c>
      <c r="E16" s="145"/>
      <c r="F16" s="152"/>
      <c r="G16" s="152"/>
      <c r="H16" s="152"/>
      <c r="I16" s="152"/>
      <c r="J16" s="152"/>
      <c r="K16" s="152"/>
      <c r="L16" s="152"/>
      <c r="M16" s="152" t="s">
        <v>742</v>
      </c>
      <c r="N16" s="152"/>
      <c r="O16" s="152"/>
      <c r="P16" s="152"/>
      <c r="Q16" s="152"/>
      <c r="R16" s="152"/>
      <c r="S16" s="152"/>
      <c r="T16" s="152"/>
      <c r="U16" s="153"/>
    </row>
    <row r="17" ht="13.5" customHeight="1">
      <c r="A17" s="148"/>
      <c r="B17" s="149"/>
      <c r="C17" s="150"/>
      <c r="D17" s="151" t="s">
        <v>2721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 t="s">
        <v>742</v>
      </c>
      <c r="O17" s="152"/>
      <c r="P17" s="152"/>
      <c r="Q17" s="152"/>
      <c r="R17" s="152"/>
      <c r="S17" s="152"/>
      <c r="T17" s="152"/>
      <c r="U17" s="153"/>
    </row>
    <row r="18" ht="13.5" customHeight="1">
      <c r="A18" s="148"/>
      <c r="B18" s="149"/>
      <c r="C18" s="150"/>
      <c r="D18" s="151" t="s">
        <v>2724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 t="s">
        <v>742</v>
      </c>
      <c r="P18" s="152"/>
      <c r="Q18" s="152"/>
      <c r="R18" s="152"/>
      <c r="S18" s="152"/>
      <c r="T18" s="152"/>
      <c r="U18" s="153"/>
    </row>
    <row r="19" ht="13.5" customHeight="1">
      <c r="A19" s="148"/>
      <c r="B19" s="149"/>
      <c r="C19" s="150"/>
      <c r="D19" s="151" t="s">
        <v>2726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 t="s">
        <v>742</v>
      </c>
      <c r="Q19" s="152"/>
      <c r="R19" s="152"/>
      <c r="S19" s="152"/>
      <c r="T19" s="152"/>
      <c r="U19" s="153"/>
    </row>
    <row r="20" ht="13.5" customHeight="1">
      <c r="A20" s="148"/>
      <c r="B20" s="149"/>
      <c r="C20" s="150"/>
      <c r="D20" s="151" t="s">
        <v>2730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 t="s">
        <v>742</v>
      </c>
      <c r="R20" s="152"/>
      <c r="S20" s="152"/>
      <c r="T20" s="152"/>
      <c r="U20" s="153"/>
    </row>
    <row r="21" ht="13.5" customHeight="1">
      <c r="A21" s="148"/>
      <c r="B21" s="149"/>
      <c r="C21" s="150"/>
      <c r="D21" s="151" t="s">
        <v>2660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 t="s">
        <v>742</v>
      </c>
      <c r="S21" s="152"/>
      <c r="T21" s="152"/>
      <c r="U21" s="153"/>
    </row>
    <row r="22" ht="13.5" customHeight="1">
      <c r="A22" s="148"/>
      <c r="B22" s="149"/>
      <c r="C22" s="150"/>
      <c r="D22" s="151" t="s">
        <v>2734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 t="s">
        <v>742</v>
      </c>
      <c r="T22" s="152" t="s">
        <v>742</v>
      </c>
      <c r="U22" s="153"/>
    </row>
    <row r="23" ht="13.5" customHeight="1">
      <c r="A23" s="148"/>
      <c r="B23" s="149"/>
      <c r="C23" s="150"/>
      <c r="D23" s="151" t="s">
        <v>2738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3" t="s">
        <v>742</v>
      </c>
    </row>
    <row r="24" ht="13.5" customHeight="1">
      <c r="A24" s="148"/>
      <c r="B24" s="149" t="s">
        <v>768</v>
      </c>
      <c r="C24" s="150"/>
      <c r="D24" s="151"/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3"/>
    </row>
    <row r="25" ht="13.5" customHeight="1">
      <c r="A25" s="148"/>
      <c r="B25" s="149"/>
      <c r="C25" s="150"/>
      <c r="D25" s="151" t="s">
        <v>2742</v>
      </c>
      <c r="E25" s="145"/>
      <c r="F25" s="152" t="s">
        <v>742</v>
      </c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3"/>
    </row>
    <row r="26" ht="13.5" customHeight="1">
      <c r="A26" s="148"/>
      <c r="B26" s="149"/>
      <c r="C26" s="150"/>
      <c r="D26" s="151" t="s">
        <v>2745</v>
      </c>
      <c r="E26" s="145"/>
      <c r="F26" s="152"/>
      <c r="G26" s="152" t="s">
        <v>742</v>
      </c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/>
    </row>
    <row r="27" ht="13.5" customHeight="1">
      <c r="A27" s="148"/>
      <c r="B27" s="149"/>
      <c r="C27" s="150"/>
      <c r="D27" s="151" t="s">
        <v>2747</v>
      </c>
      <c r="E27" s="145"/>
      <c r="F27" s="152"/>
      <c r="G27" s="152"/>
      <c r="H27" s="152" t="s">
        <v>742</v>
      </c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3"/>
    </row>
    <row r="28" ht="13.5" customHeight="1">
      <c r="A28" s="148"/>
      <c r="B28" s="149"/>
      <c r="C28" s="150"/>
      <c r="D28" s="151" t="s">
        <v>2748</v>
      </c>
      <c r="E28" s="145"/>
      <c r="F28" s="152"/>
      <c r="G28" s="152"/>
      <c r="H28" s="152"/>
      <c r="I28" s="152" t="s">
        <v>742</v>
      </c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3"/>
    </row>
    <row r="29" ht="13.5" customHeight="1">
      <c r="A29" s="148"/>
      <c r="B29" s="149"/>
      <c r="C29" s="150"/>
      <c r="D29" s="151" t="s">
        <v>2750</v>
      </c>
      <c r="E29" s="145"/>
      <c r="F29" s="152"/>
      <c r="G29" s="152"/>
      <c r="H29" s="152"/>
      <c r="I29" s="152"/>
      <c r="J29" s="152" t="s">
        <v>742</v>
      </c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3"/>
    </row>
    <row r="30" ht="13.5" customHeight="1">
      <c r="A30" s="148"/>
      <c r="B30" s="149"/>
      <c r="C30" s="150"/>
      <c r="D30" s="151" t="s">
        <v>2752</v>
      </c>
      <c r="E30" s="145"/>
      <c r="F30" s="152"/>
      <c r="G30" s="152"/>
      <c r="H30" s="152"/>
      <c r="I30" s="152"/>
      <c r="J30" s="152"/>
      <c r="K30" s="152" t="s">
        <v>742</v>
      </c>
      <c r="L30" s="152"/>
      <c r="M30" s="152"/>
      <c r="N30" s="152"/>
      <c r="O30" s="152"/>
      <c r="P30" s="152"/>
      <c r="Q30" s="152"/>
      <c r="R30" s="152"/>
      <c r="S30" s="152"/>
      <c r="T30" s="152"/>
      <c r="U30" s="153"/>
    </row>
    <row r="31" ht="13.5" customHeight="1">
      <c r="A31" s="148"/>
      <c r="B31" s="149"/>
      <c r="C31" s="150"/>
      <c r="D31" s="151" t="s">
        <v>2754</v>
      </c>
      <c r="E31" s="145"/>
      <c r="F31" s="152"/>
      <c r="G31" s="152"/>
      <c r="H31" s="152"/>
      <c r="I31" s="152"/>
      <c r="J31" s="152"/>
      <c r="K31" s="152"/>
      <c r="L31" s="152" t="s">
        <v>742</v>
      </c>
      <c r="M31" s="152" t="s">
        <v>742</v>
      </c>
      <c r="N31" s="152"/>
      <c r="O31" s="152"/>
      <c r="P31" s="152"/>
      <c r="Q31" s="152"/>
      <c r="R31" s="152"/>
      <c r="S31" s="152"/>
      <c r="T31" s="152"/>
      <c r="U31" s="153"/>
    </row>
    <row r="32" ht="13.5" customHeight="1">
      <c r="A32" s="148"/>
      <c r="B32" s="149"/>
      <c r="C32" s="150"/>
      <c r="D32" s="151" t="s">
        <v>2756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 t="s">
        <v>742</v>
      </c>
      <c r="O32" s="152" t="s">
        <v>742</v>
      </c>
      <c r="P32" s="152"/>
      <c r="Q32" s="152"/>
      <c r="R32" s="152"/>
      <c r="S32" s="152"/>
      <c r="T32" s="152"/>
      <c r="U32" s="153"/>
    </row>
    <row r="33" ht="13.5" customHeight="1">
      <c r="A33" s="148"/>
      <c r="B33" s="149"/>
      <c r="C33" s="150"/>
      <c r="D33" s="151" t="s">
        <v>2757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 t="s">
        <v>742</v>
      </c>
      <c r="Q33" s="152" t="s">
        <v>742</v>
      </c>
      <c r="R33" s="152" t="s">
        <v>742</v>
      </c>
      <c r="S33" s="152"/>
      <c r="T33" s="152"/>
      <c r="U33" s="153"/>
    </row>
    <row r="34" ht="13.5" customHeight="1">
      <c r="A34" s="148"/>
      <c r="B34" s="149"/>
      <c r="C34" s="150"/>
      <c r="D34" s="151" t="s">
        <v>2758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 t="s">
        <v>742</v>
      </c>
      <c r="T34" s="152"/>
      <c r="U34" s="153"/>
    </row>
    <row r="35" ht="13.5" customHeight="1">
      <c r="A35" s="148"/>
      <c r="B35" s="149"/>
      <c r="C35" s="150"/>
      <c r="D35" s="151" t="s">
        <v>2760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 t="s">
        <v>742</v>
      </c>
      <c r="U35" s="153"/>
    </row>
    <row r="36" ht="13.5" customHeight="1">
      <c r="A36" s="148"/>
      <c r="B36" s="149"/>
      <c r="C36" s="150"/>
      <c r="D36" s="151" t="s">
        <v>2762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3" t="s">
        <v>742</v>
      </c>
    </row>
    <row r="37" ht="13.5" customHeight="1">
      <c r="A37" s="148"/>
      <c r="B37" s="154"/>
      <c r="C37" s="155"/>
      <c r="D37" s="156"/>
      <c r="E37" s="157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9"/>
    </row>
    <row r="38" ht="13.5" customHeight="1">
      <c r="A38" s="160" t="s">
        <v>802</v>
      </c>
      <c r="B38" s="161" t="s">
        <v>804</v>
      </c>
      <c r="C38" s="162"/>
      <c r="D38" s="163"/>
      <c r="E38" s="164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7"/>
    </row>
    <row r="39" ht="13.5" customHeight="1">
      <c r="A39" s="165"/>
      <c r="B39" s="166"/>
      <c r="C39" s="167"/>
      <c r="D39" s="168" t="s">
        <v>2766</v>
      </c>
      <c r="E39" s="169"/>
      <c r="F39" s="152" t="s">
        <v>742</v>
      </c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3"/>
    </row>
    <row r="40" ht="13.5" customHeight="1">
      <c r="A40" s="165"/>
      <c r="B40" s="166"/>
      <c r="C40" s="167"/>
      <c r="D40" s="168" t="s">
        <v>2768</v>
      </c>
      <c r="E40" s="169"/>
      <c r="F40" s="152"/>
      <c r="G40" s="152"/>
      <c r="H40" s="152" t="s">
        <v>742</v>
      </c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3"/>
    </row>
    <row r="41" ht="13.5" customHeight="1">
      <c r="A41" s="165"/>
      <c r="B41" s="166"/>
      <c r="C41" s="167"/>
      <c r="D41" s="168" t="s">
        <v>2770</v>
      </c>
      <c r="E41" s="169"/>
      <c r="F41" s="152"/>
      <c r="G41" s="152"/>
      <c r="H41" s="152"/>
      <c r="I41" s="152" t="s">
        <v>742</v>
      </c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3"/>
    </row>
    <row r="42" ht="13.5" customHeight="1">
      <c r="A42" s="165"/>
      <c r="B42" s="166"/>
      <c r="C42" s="167"/>
      <c r="D42" s="168" t="s">
        <v>2772</v>
      </c>
      <c r="E42" s="169"/>
      <c r="F42" s="152"/>
      <c r="G42" s="152"/>
      <c r="H42" s="152"/>
      <c r="I42" s="152"/>
      <c r="J42" s="152"/>
      <c r="K42" s="152"/>
      <c r="L42" s="152"/>
      <c r="M42" s="152"/>
      <c r="N42" s="152" t="s">
        <v>742</v>
      </c>
      <c r="O42" s="152"/>
      <c r="P42" s="152"/>
      <c r="Q42" s="152"/>
      <c r="R42" s="152"/>
      <c r="S42" s="152"/>
      <c r="T42" s="152"/>
      <c r="U42" s="153"/>
    </row>
    <row r="43" ht="13.5" customHeight="1">
      <c r="A43" s="165"/>
      <c r="B43" s="166"/>
      <c r="C43" s="167"/>
      <c r="D43" s="168" t="s">
        <v>2724</v>
      </c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 t="s">
        <v>742</v>
      </c>
      <c r="Q43" s="152"/>
      <c r="R43" s="152"/>
      <c r="S43" s="152"/>
      <c r="T43" s="152"/>
      <c r="U43" s="153"/>
    </row>
    <row r="44" ht="13.5" customHeight="1">
      <c r="A44" s="165"/>
      <c r="B44" s="166"/>
      <c r="C44" s="167"/>
      <c r="D44" s="168" t="s">
        <v>2774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 t="s">
        <v>742</v>
      </c>
      <c r="R44" s="152"/>
      <c r="S44" s="152"/>
      <c r="T44" s="152"/>
      <c r="U44" s="153"/>
    </row>
    <row r="45" ht="13.5" customHeight="1">
      <c r="A45" s="165"/>
      <c r="B45" s="166"/>
      <c r="C45" s="167"/>
      <c r="D45" s="168" t="s">
        <v>2776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 t="s">
        <v>742</v>
      </c>
      <c r="T45" s="152"/>
      <c r="U45" s="153"/>
    </row>
    <row r="46" ht="13.5" customHeight="1">
      <c r="A46" s="165"/>
      <c r="B46" s="166" t="s">
        <v>825</v>
      </c>
      <c r="C46" s="167"/>
      <c r="D46" s="168"/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3"/>
    </row>
    <row r="47" ht="13.5" customHeight="1">
      <c r="A47" s="165"/>
      <c r="B47" s="166"/>
      <c r="C47" s="167"/>
      <c r="D47" s="168" t="s">
        <v>2778</v>
      </c>
      <c r="E47" s="169"/>
      <c r="F47" s="152"/>
      <c r="G47" s="152" t="s">
        <v>742</v>
      </c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3"/>
    </row>
    <row r="48" ht="13.5" customHeight="1">
      <c r="A48" s="165"/>
      <c r="B48" s="166"/>
      <c r="C48" s="167"/>
      <c r="D48" s="168" t="s">
        <v>2780</v>
      </c>
      <c r="E48" s="169"/>
      <c r="F48" s="152"/>
      <c r="G48" s="152"/>
      <c r="H48" s="152"/>
      <c r="I48" s="152"/>
      <c r="J48" s="152" t="s">
        <v>742</v>
      </c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3"/>
    </row>
    <row r="49" ht="13.5" customHeight="1">
      <c r="A49" s="165"/>
      <c r="B49" s="166"/>
      <c r="C49" s="167"/>
      <c r="D49" s="168" t="s">
        <v>2782</v>
      </c>
      <c r="E49" s="169"/>
      <c r="F49" s="152"/>
      <c r="G49" s="152"/>
      <c r="H49" s="152"/>
      <c r="I49" s="152"/>
      <c r="J49" s="152"/>
      <c r="K49" s="152" t="s">
        <v>742</v>
      </c>
      <c r="L49" s="152"/>
      <c r="M49" s="152"/>
      <c r="N49" s="152"/>
      <c r="O49" s="152"/>
      <c r="P49" s="152"/>
      <c r="Q49" s="152"/>
      <c r="R49" s="152"/>
      <c r="S49" s="152"/>
      <c r="T49" s="152"/>
      <c r="U49" s="153"/>
    </row>
    <row r="50" ht="13.5" customHeight="1">
      <c r="A50" s="165"/>
      <c r="B50" s="166"/>
      <c r="C50" s="167"/>
      <c r="D50" s="168" t="s">
        <v>2784</v>
      </c>
      <c r="E50" s="169"/>
      <c r="F50" s="152"/>
      <c r="G50" s="152"/>
      <c r="H50" s="152"/>
      <c r="I50" s="152"/>
      <c r="J50" s="152"/>
      <c r="K50" s="152"/>
      <c r="L50" s="152" t="s">
        <v>742</v>
      </c>
      <c r="M50" s="152"/>
      <c r="N50" s="152"/>
      <c r="O50" s="152"/>
      <c r="P50" s="152"/>
      <c r="Q50" s="152"/>
      <c r="R50" s="152"/>
      <c r="S50" s="152"/>
      <c r="T50" s="152"/>
      <c r="U50" s="153"/>
    </row>
    <row r="51" ht="13.5" customHeight="1">
      <c r="A51" s="165"/>
      <c r="B51" s="166"/>
      <c r="C51" s="167"/>
      <c r="D51" s="168" t="s">
        <v>2786</v>
      </c>
      <c r="E51" s="169"/>
      <c r="F51" s="152"/>
      <c r="G51" s="152"/>
      <c r="H51" s="152"/>
      <c r="I51" s="152"/>
      <c r="J51" s="152"/>
      <c r="K51" s="152"/>
      <c r="L51" s="152"/>
      <c r="M51" s="152" t="s">
        <v>742</v>
      </c>
      <c r="N51" s="152"/>
      <c r="O51" s="152"/>
      <c r="P51" s="152"/>
      <c r="Q51" s="152"/>
      <c r="R51" s="152"/>
      <c r="S51" s="152"/>
      <c r="T51" s="152"/>
      <c r="U51" s="153"/>
    </row>
    <row r="52" ht="13.5" customHeight="1">
      <c r="A52" s="165"/>
      <c r="B52" s="166"/>
      <c r="C52" s="167"/>
      <c r="D52" s="168" t="s">
        <v>2787</v>
      </c>
      <c r="E52" s="169"/>
      <c r="F52" s="152"/>
      <c r="G52" s="152"/>
      <c r="H52" s="152"/>
      <c r="I52" s="152"/>
      <c r="J52" s="152"/>
      <c r="K52" s="152"/>
      <c r="L52" s="152"/>
      <c r="M52" s="152"/>
      <c r="N52" s="152"/>
      <c r="O52" s="152" t="s">
        <v>742</v>
      </c>
      <c r="P52" s="152"/>
      <c r="Q52" s="152"/>
      <c r="R52" s="152"/>
      <c r="S52" s="152"/>
      <c r="T52" s="152"/>
      <c r="U52" s="153"/>
    </row>
    <row r="53" ht="13.5" customHeight="1">
      <c r="A53" s="165"/>
      <c r="B53" s="166"/>
      <c r="C53" s="167"/>
      <c r="D53" s="168" t="s">
        <v>2789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 t="s">
        <v>742</v>
      </c>
      <c r="S53" s="152"/>
      <c r="T53" s="152"/>
      <c r="U53" s="153"/>
    </row>
    <row r="54" ht="13.5" customHeight="1">
      <c r="A54" s="165"/>
      <c r="B54" s="166"/>
      <c r="C54" s="167"/>
      <c r="D54" s="168" t="s">
        <v>2791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 t="s">
        <v>742</v>
      </c>
      <c r="U54" s="153"/>
    </row>
    <row r="55" ht="13.5" customHeight="1">
      <c r="A55" s="165"/>
      <c r="B55" s="166"/>
      <c r="C55" s="167"/>
      <c r="D55" s="168" t="s">
        <v>2793</v>
      </c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3" t="s">
        <v>742</v>
      </c>
    </row>
    <row r="56" ht="13.5" customHeight="1">
      <c r="A56" s="165"/>
      <c r="B56" s="166" t="s">
        <v>854</v>
      </c>
      <c r="C56" s="167"/>
      <c r="D56" s="168"/>
      <c r="E56" s="16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3"/>
    </row>
    <row r="57" ht="13.5" customHeight="1">
      <c r="A57" s="165"/>
      <c r="B57" s="170"/>
      <c r="C57" s="171"/>
      <c r="D57" s="172"/>
      <c r="E57" s="173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5"/>
    </row>
    <row r="58" ht="13.5" customHeight="1">
      <c r="A58" s="160" t="s">
        <v>865</v>
      </c>
      <c r="B58" s="176" t="s">
        <v>866</v>
      </c>
      <c r="C58" s="177"/>
      <c r="D58" s="178"/>
      <c r="E58" s="179"/>
      <c r="F58" s="180" t="s">
        <v>54</v>
      </c>
      <c r="G58" s="180" t="s">
        <v>55</v>
      </c>
      <c r="H58" s="180" t="s">
        <v>54</v>
      </c>
      <c r="I58" s="180" t="s">
        <v>57</v>
      </c>
      <c r="J58" s="180" t="s">
        <v>55</v>
      </c>
      <c r="K58" s="180" t="s">
        <v>55</v>
      </c>
      <c r="L58" s="180" t="s">
        <v>55</v>
      </c>
      <c r="M58" s="180" t="s">
        <v>55</v>
      </c>
      <c r="N58" s="180" t="s">
        <v>54</v>
      </c>
      <c r="O58" s="180" t="s">
        <v>55</v>
      </c>
      <c r="P58" s="180" t="s">
        <v>54</v>
      </c>
      <c r="Q58" s="180" t="s">
        <v>54</v>
      </c>
      <c r="R58" s="180" t="s">
        <v>55</v>
      </c>
      <c r="S58" s="180" t="s">
        <v>54</v>
      </c>
      <c r="T58" s="180" t="s">
        <v>55</v>
      </c>
      <c r="U58" s="181" t="s">
        <v>55</v>
      </c>
    </row>
    <row r="59" ht="13.5" customHeight="1">
      <c r="A59" s="165"/>
      <c r="B59" s="182" t="s">
        <v>867</v>
      </c>
      <c r="C59" s="27"/>
      <c r="D59" s="25"/>
      <c r="E59" s="183"/>
      <c r="F59" s="184" t="s">
        <v>868</v>
      </c>
      <c r="G59" s="184" t="s">
        <v>868</v>
      </c>
      <c r="H59" s="184" t="s">
        <v>868</v>
      </c>
      <c r="I59" s="184" t="s">
        <v>868</v>
      </c>
      <c r="J59" s="184" t="s">
        <v>868</v>
      </c>
      <c r="K59" s="184" t="s">
        <v>868</v>
      </c>
      <c r="L59" s="184" t="s">
        <v>868</v>
      </c>
      <c r="M59" s="184" t="s">
        <v>868</v>
      </c>
      <c r="N59" s="184" t="s">
        <v>868</v>
      </c>
      <c r="O59" s="184" t="s">
        <v>868</v>
      </c>
      <c r="P59" s="184" t="s">
        <v>868</v>
      </c>
      <c r="Q59" s="184" t="s">
        <v>868</v>
      </c>
      <c r="R59" s="184" t="s">
        <v>868</v>
      </c>
      <c r="S59" s="184" t="s">
        <v>868</v>
      </c>
      <c r="T59" s="184" t="s">
        <v>868</v>
      </c>
      <c r="U59" s="185" t="s">
        <v>868</v>
      </c>
    </row>
    <row r="60" ht="99.75" customHeight="1">
      <c r="A60" s="165"/>
      <c r="B60" s="186" t="s">
        <v>869</v>
      </c>
      <c r="C60" s="27"/>
      <c r="D60" s="25"/>
      <c r="E60" s="169"/>
      <c r="F60" s="187">
        <v>46308.0</v>
      </c>
      <c r="G60" s="187">
        <v>46308.0</v>
      </c>
      <c r="H60" s="187">
        <v>46308.0</v>
      </c>
      <c r="I60" s="187">
        <v>46308.0</v>
      </c>
      <c r="J60" s="187">
        <v>46308.0</v>
      </c>
      <c r="K60" s="187">
        <v>46308.0</v>
      </c>
      <c r="L60" s="187">
        <v>46308.0</v>
      </c>
      <c r="M60" s="187">
        <v>46308.0</v>
      </c>
      <c r="N60" s="187">
        <v>46308.0</v>
      </c>
      <c r="O60" s="187">
        <v>46308.0</v>
      </c>
      <c r="P60" s="187">
        <v>46308.0</v>
      </c>
      <c r="Q60" s="187">
        <v>46308.0</v>
      </c>
      <c r="R60" s="187">
        <v>46308.0</v>
      </c>
      <c r="S60" s="187">
        <v>46308.0</v>
      </c>
      <c r="T60" s="187">
        <v>46308.0</v>
      </c>
      <c r="U60" s="188">
        <v>46308.0</v>
      </c>
    </row>
    <row r="61" ht="72.75" customHeight="1">
      <c r="A61" s="190"/>
      <c r="B61" s="191" t="s">
        <v>870</v>
      </c>
      <c r="C61" s="192"/>
      <c r="D61" s="193"/>
      <c r="E61" s="194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6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U2"/>
    <mergeCell ref="C3:E3"/>
    <mergeCell ref="F3:K3"/>
    <mergeCell ref="L3:U3"/>
    <mergeCell ref="A3:B3"/>
    <mergeCell ref="A4:B4"/>
    <mergeCell ref="C4:D4"/>
    <mergeCell ref="F4:K4"/>
    <mergeCell ref="L4:U4"/>
    <mergeCell ref="A5:B5"/>
    <mergeCell ref="C5:U5"/>
    <mergeCell ref="O6:U6"/>
    <mergeCell ref="O7:U7"/>
    <mergeCell ref="B58:D58"/>
    <mergeCell ref="B59:D59"/>
    <mergeCell ref="B60:D60"/>
    <mergeCell ref="B61:D61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8" width="3.57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</row>
    <row r="2" ht="13.5" customHeight="1">
      <c r="A2" s="111" t="s">
        <v>707</v>
      </c>
      <c r="B2" s="112"/>
      <c r="C2" s="113" t="s">
        <v>622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534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ht="13.5" customHeight="1">
      <c r="A4" s="117" t="s">
        <v>711</v>
      </c>
      <c r="B4" s="27"/>
      <c r="C4" s="122">
        <v>504.0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ht="13.5" customHeight="1">
      <c r="A5" s="117" t="s">
        <v>713</v>
      </c>
      <c r="B5" s="27"/>
      <c r="C5" s="124" t="s">
        <v>2680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ht="13.5" customHeight="1">
      <c r="A7" s="129">
        <f>COUNTIF(F78:AB78,"P")</f>
        <v>23</v>
      </c>
      <c r="B7" s="130"/>
      <c r="C7" s="131">
        <f>COUNTIF(F78:AB78,"F")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COUNTIF(F77:AB77,"N")</f>
        <v>10</v>
      </c>
      <c r="M7" s="132">
        <f>COUNTIF(F77:AB77,"A")</f>
        <v>12</v>
      </c>
      <c r="N7" s="132">
        <f>COUNTIF(F77:AB77,"B")</f>
        <v>1</v>
      </c>
      <c r="O7" s="133">
        <f>COUNTA(F9:AB9)</f>
        <v>23</v>
      </c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39" t="s">
        <v>733</v>
      </c>
      <c r="X9" s="139" t="s">
        <v>734</v>
      </c>
      <c r="Y9" s="139" t="s">
        <v>735</v>
      </c>
      <c r="Z9" s="139" t="s">
        <v>736</v>
      </c>
      <c r="AA9" s="139" t="s">
        <v>737</v>
      </c>
      <c r="AB9" s="140" t="s">
        <v>738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7"/>
    </row>
    <row r="11" ht="13.5" customHeight="1">
      <c r="A11" s="148"/>
      <c r="B11" s="149"/>
      <c r="C11" s="150"/>
      <c r="D11" s="151" t="s">
        <v>2722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3"/>
    </row>
    <row r="12" ht="13.5" customHeight="1">
      <c r="A12" s="148"/>
      <c r="B12" s="149"/>
      <c r="C12" s="150"/>
      <c r="D12" s="151" t="s">
        <v>2718</v>
      </c>
      <c r="E12" s="145"/>
      <c r="F12" s="152"/>
      <c r="G12" s="152" t="s">
        <v>742</v>
      </c>
      <c r="H12" s="152" t="s">
        <v>742</v>
      </c>
      <c r="I12" s="152"/>
      <c r="J12" s="152"/>
      <c r="K12" s="152"/>
      <c r="L12" s="152"/>
      <c r="M12" s="152"/>
      <c r="N12" s="152" t="s">
        <v>742</v>
      </c>
      <c r="O12" s="152" t="s">
        <v>742</v>
      </c>
      <c r="P12" s="152" t="s">
        <v>742</v>
      </c>
      <c r="Q12" s="152"/>
      <c r="R12" s="152"/>
      <c r="S12" s="152"/>
      <c r="T12" s="152"/>
      <c r="U12" s="152"/>
      <c r="V12" s="152"/>
      <c r="W12" s="152"/>
      <c r="X12" s="152" t="s">
        <v>742</v>
      </c>
      <c r="Y12" s="152" t="s">
        <v>742</v>
      </c>
      <c r="Z12" s="152"/>
      <c r="AA12" s="152"/>
      <c r="AB12" s="153"/>
    </row>
    <row r="13" ht="13.5" customHeight="1">
      <c r="A13" s="148"/>
      <c r="B13" s="149"/>
      <c r="C13" s="150"/>
      <c r="D13" s="151" t="s">
        <v>2731</v>
      </c>
      <c r="E13" s="145"/>
      <c r="F13" s="152"/>
      <c r="G13" s="152"/>
      <c r="H13" s="152"/>
      <c r="I13" s="152" t="s">
        <v>742</v>
      </c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3"/>
    </row>
    <row r="14" ht="13.5" customHeight="1">
      <c r="A14" s="148"/>
      <c r="B14" s="149"/>
      <c r="C14" s="150"/>
      <c r="D14" s="151" t="s">
        <v>2733</v>
      </c>
      <c r="E14" s="145"/>
      <c r="F14" s="152"/>
      <c r="G14" s="152"/>
      <c r="H14" s="152"/>
      <c r="I14" s="152"/>
      <c r="J14" s="152" t="s">
        <v>742</v>
      </c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3"/>
    </row>
    <row r="15" ht="13.5" customHeight="1">
      <c r="A15" s="148"/>
      <c r="B15" s="149"/>
      <c r="C15" s="150"/>
      <c r="D15" s="151" t="s">
        <v>2737</v>
      </c>
      <c r="E15" s="145"/>
      <c r="F15" s="152"/>
      <c r="G15" s="152"/>
      <c r="H15" s="152"/>
      <c r="I15" s="152"/>
      <c r="J15" s="152"/>
      <c r="K15" s="152" t="s">
        <v>742</v>
      </c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3"/>
    </row>
    <row r="16" ht="13.5" customHeight="1">
      <c r="A16" s="148"/>
      <c r="B16" s="149"/>
      <c r="C16" s="150"/>
      <c r="D16" s="151" t="s">
        <v>2740</v>
      </c>
      <c r="E16" s="145"/>
      <c r="F16" s="152"/>
      <c r="G16" s="152"/>
      <c r="H16" s="152"/>
      <c r="I16" s="152"/>
      <c r="J16" s="152"/>
      <c r="K16" s="152"/>
      <c r="L16" s="152" t="s">
        <v>742</v>
      </c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3"/>
    </row>
    <row r="17" ht="13.5" customHeight="1">
      <c r="A17" s="148"/>
      <c r="B17" s="149"/>
      <c r="C17" s="150"/>
      <c r="D17" s="151" t="s">
        <v>2719</v>
      </c>
      <c r="E17" s="145"/>
      <c r="F17" s="152"/>
      <c r="G17" s="152"/>
      <c r="H17" s="152"/>
      <c r="I17" s="152"/>
      <c r="J17" s="152"/>
      <c r="K17" s="152"/>
      <c r="L17" s="152"/>
      <c r="M17" s="152" t="s">
        <v>742</v>
      </c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3"/>
    </row>
    <row r="18" ht="13.5" customHeight="1">
      <c r="A18" s="148"/>
      <c r="B18" s="149"/>
      <c r="C18" s="150"/>
      <c r="D18" s="151" t="s">
        <v>2746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 t="s">
        <v>742</v>
      </c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3"/>
    </row>
    <row r="19" ht="13.5" customHeight="1">
      <c r="A19" s="148"/>
      <c r="B19" s="149"/>
      <c r="C19" s="150"/>
      <c r="D19" s="151" t="s">
        <v>2749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 t="s">
        <v>742</v>
      </c>
      <c r="S19" s="152"/>
      <c r="T19" s="152"/>
      <c r="U19" s="152"/>
      <c r="V19" s="152"/>
      <c r="W19" s="152"/>
      <c r="X19" s="152"/>
      <c r="Y19" s="152"/>
      <c r="Z19" s="152"/>
      <c r="AA19" s="152"/>
      <c r="AB19" s="153"/>
    </row>
    <row r="20" ht="13.5" customHeight="1">
      <c r="A20" s="148"/>
      <c r="B20" s="149"/>
      <c r="C20" s="150"/>
      <c r="D20" s="151" t="s">
        <v>2751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 t="s">
        <v>742</v>
      </c>
      <c r="T20" s="152" t="s">
        <v>742</v>
      </c>
      <c r="U20" s="152"/>
      <c r="V20" s="152"/>
      <c r="W20" s="152"/>
      <c r="X20" s="152"/>
      <c r="Y20" s="152"/>
      <c r="Z20" s="152"/>
      <c r="AA20" s="152"/>
      <c r="AB20" s="153"/>
    </row>
    <row r="21" ht="13.5" customHeight="1">
      <c r="A21" s="148"/>
      <c r="B21" s="149"/>
      <c r="C21" s="150"/>
      <c r="D21" s="151" t="s">
        <v>2753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 t="s">
        <v>742</v>
      </c>
      <c r="V21" s="152"/>
      <c r="W21" s="152"/>
      <c r="X21" s="152"/>
      <c r="Y21" s="152"/>
      <c r="Z21" s="152"/>
      <c r="AA21" s="152"/>
      <c r="AB21" s="153"/>
    </row>
    <row r="22" ht="13.5" customHeight="1">
      <c r="A22" s="148"/>
      <c r="B22" s="149"/>
      <c r="C22" s="150"/>
      <c r="D22" s="151" t="s">
        <v>2755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 t="s">
        <v>742</v>
      </c>
      <c r="W22" s="152"/>
      <c r="X22" s="152"/>
      <c r="Y22" s="152"/>
      <c r="Z22" s="152"/>
      <c r="AA22" s="152"/>
      <c r="AB22" s="153"/>
    </row>
    <row r="23" ht="13.5" customHeight="1">
      <c r="A23" s="148"/>
      <c r="B23" s="149"/>
      <c r="C23" s="150"/>
      <c r="D23" s="151" t="s">
        <v>2652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 t="s">
        <v>742</v>
      </c>
      <c r="X23" s="152"/>
      <c r="Y23" s="152"/>
      <c r="Z23" s="152"/>
      <c r="AA23" s="152"/>
      <c r="AB23" s="153"/>
    </row>
    <row r="24" ht="13.5" customHeight="1">
      <c r="A24" s="148"/>
      <c r="B24" s="149"/>
      <c r="C24" s="150"/>
      <c r="D24" s="151" t="s">
        <v>2759</v>
      </c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 t="s">
        <v>742</v>
      </c>
      <c r="AA24" s="152"/>
      <c r="AB24" s="153"/>
    </row>
    <row r="25" ht="13.5" customHeight="1">
      <c r="A25" s="148"/>
      <c r="B25" s="149"/>
      <c r="C25" s="150"/>
      <c r="D25" s="151" t="s">
        <v>2761</v>
      </c>
      <c r="E25" s="145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 t="s">
        <v>742</v>
      </c>
      <c r="AB25" s="153"/>
    </row>
    <row r="26" ht="13.5" customHeight="1">
      <c r="A26" s="148"/>
      <c r="B26" s="149"/>
      <c r="C26" s="150"/>
      <c r="D26" s="151" t="s">
        <v>2763</v>
      </c>
      <c r="E26" s="145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3" t="s">
        <v>742</v>
      </c>
    </row>
    <row r="27" ht="13.5" customHeight="1">
      <c r="A27" s="148"/>
      <c r="B27" s="149" t="s">
        <v>768</v>
      </c>
      <c r="C27" s="150"/>
      <c r="D27" s="151"/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3"/>
    </row>
    <row r="28" ht="13.5" customHeight="1">
      <c r="A28" s="148"/>
      <c r="B28" s="149"/>
      <c r="C28" s="150"/>
      <c r="D28" s="151" t="s">
        <v>2764</v>
      </c>
      <c r="E28" s="145"/>
      <c r="F28" s="152" t="s">
        <v>742</v>
      </c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3"/>
    </row>
    <row r="29" ht="13.5" customHeight="1">
      <c r="A29" s="148"/>
      <c r="B29" s="149"/>
      <c r="C29" s="150"/>
      <c r="D29" s="151" t="s">
        <v>2765</v>
      </c>
      <c r="E29" s="145"/>
      <c r="F29" s="152"/>
      <c r="G29" s="152" t="s">
        <v>742</v>
      </c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3"/>
    </row>
    <row r="30" ht="13.5" customHeight="1">
      <c r="A30" s="148"/>
      <c r="B30" s="149"/>
      <c r="C30" s="150"/>
      <c r="D30" s="151" t="s">
        <v>2767</v>
      </c>
      <c r="E30" s="145"/>
      <c r="F30" s="152"/>
      <c r="G30" s="152"/>
      <c r="H30" s="152" t="s">
        <v>742</v>
      </c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3"/>
    </row>
    <row r="31" ht="13.5" customHeight="1">
      <c r="A31" s="148"/>
      <c r="B31" s="149"/>
      <c r="C31" s="150"/>
      <c r="D31" s="151" t="s">
        <v>2769</v>
      </c>
      <c r="E31" s="145"/>
      <c r="F31" s="152"/>
      <c r="G31" s="152"/>
      <c r="H31" s="152"/>
      <c r="I31" s="152" t="s">
        <v>742</v>
      </c>
      <c r="J31" s="152"/>
      <c r="K31" s="152"/>
      <c r="L31" s="152" t="s">
        <v>742</v>
      </c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3"/>
    </row>
    <row r="32" ht="13.5" customHeight="1">
      <c r="A32" s="148"/>
      <c r="B32" s="149"/>
      <c r="C32" s="150"/>
      <c r="D32" s="151" t="s">
        <v>2771</v>
      </c>
      <c r="E32" s="145"/>
      <c r="F32" s="152"/>
      <c r="G32" s="152"/>
      <c r="H32" s="152"/>
      <c r="I32" s="152"/>
      <c r="J32" s="152" t="s">
        <v>742</v>
      </c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3"/>
    </row>
    <row r="33" ht="13.5" customHeight="1">
      <c r="A33" s="148"/>
      <c r="B33" s="149"/>
      <c r="C33" s="150"/>
      <c r="D33" s="151" t="s">
        <v>2773</v>
      </c>
      <c r="E33" s="145"/>
      <c r="F33" s="152"/>
      <c r="G33" s="152"/>
      <c r="H33" s="152"/>
      <c r="I33" s="152"/>
      <c r="J33" s="152"/>
      <c r="K33" s="152" t="s">
        <v>742</v>
      </c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3"/>
    </row>
    <row r="34" ht="13.5" customHeight="1">
      <c r="A34" s="148"/>
      <c r="B34" s="149"/>
      <c r="C34" s="150"/>
      <c r="D34" s="151" t="s">
        <v>2775</v>
      </c>
      <c r="E34" s="145"/>
      <c r="F34" s="152"/>
      <c r="G34" s="152"/>
      <c r="H34" s="152"/>
      <c r="I34" s="152"/>
      <c r="J34" s="152"/>
      <c r="K34" s="152"/>
      <c r="L34" s="152"/>
      <c r="M34" s="152" t="s">
        <v>742</v>
      </c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3"/>
    </row>
    <row r="35" ht="13.5" customHeight="1">
      <c r="A35" s="148"/>
      <c r="B35" s="149"/>
      <c r="C35" s="150"/>
      <c r="D35" s="151" t="s">
        <v>2777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 t="s">
        <v>742</v>
      </c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3"/>
    </row>
    <row r="36" ht="13.5" customHeight="1">
      <c r="A36" s="148"/>
      <c r="B36" s="149"/>
      <c r="C36" s="150"/>
      <c r="D36" s="151" t="s">
        <v>2779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 t="s">
        <v>742</v>
      </c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3"/>
    </row>
    <row r="37" ht="13.5" customHeight="1">
      <c r="A37" s="148"/>
      <c r="B37" s="149"/>
      <c r="C37" s="150"/>
      <c r="D37" s="151" t="s">
        <v>2781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 t="s">
        <v>742</v>
      </c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3"/>
    </row>
    <row r="38" ht="13.5" customHeight="1">
      <c r="A38" s="148"/>
      <c r="B38" s="149"/>
      <c r="C38" s="150"/>
      <c r="D38" s="151" t="s">
        <v>2783</v>
      </c>
      <c r="E38" s="145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 t="s">
        <v>742</v>
      </c>
      <c r="R38" s="152" t="s">
        <v>742</v>
      </c>
      <c r="S38" s="152"/>
      <c r="T38" s="152"/>
      <c r="U38" s="152"/>
      <c r="V38" s="152"/>
      <c r="W38" s="152"/>
      <c r="X38" s="152"/>
      <c r="Y38" s="152"/>
      <c r="Z38" s="152"/>
      <c r="AA38" s="152"/>
      <c r="AB38" s="153"/>
    </row>
    <row r="39" ht="13.5" customHeight="1">
      <c r="A39" s="148"/>
      <c r="B39" s="149"/>
      <c r="C39" s="150"/>
      <c r="D39" s="151" t="s">
        <v>2785</v>
      </c>
      <c r="E39" s="14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 t="s">
        <v>742</v>
      </c>
      <c r="T39" s="152"/>
      <c r="U39" s="152"/>
      <c r="V39" s="152"/>
      <c r="W39" s="152"/>
      <c r="X39" s="152"/>
      <c r="Y39" s="152"/>
      <c r="Z39" s="152"/>
      <c r="AA39" s="152"/>
      <c r="AB39" s="153"/>
    </row>
    <row r="40" ht="13.5" customHeight="1">
      <c r="A40" s="148"/>
      <c r="B40" s="149"/>
      <c r="C40" s="150"/>
      <c r="D40" s="151" t="s">
        <v>2788</v>
      </c>
      <c r="E40" s="145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 t="s">
        <v>742</v>
      </c>
      <c r="U40" s="152"/>
      <c r="V40" s="152"/>
      <c r="W40" s="152"/>
      <c r="X40" s="152"/>
      <c r="Y40" s="152"/>
      <c r="Z40" s="152"/>
      <c r="AA40" s="152"/>
      <c r="AB40" s="153"/>
    </row>
    <row r="41" ht="13.5" customHeight="1">
      <c r="A41" s="148"/>
      <c r="B41" s="149"/>
      <c r="C41" s="150"/>
      <c r="D41" s="151" t="s">
        <v>2790</v>
      </c>
      <c r="E41" s="145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 t="s">
        <v>742</v>
      </c>
      <c r="V41" s="152"/>
      <c r="W41" s="152"/>
      <c r="X41" s="152"/>
      <c r="Y41" s="152"/>
      <c r="Z41" s="152"/>
      <c r="AA41" s="152"/>
      <c r="AB41" s="153"/>
    </row>
    <row r="42" ht="13.5" customHeight="1">
      <c r="A42" s="148"/>
      <c r="B42" s="149"/>
      <c r="C42" s="150"/>
      <c r="D42" s="151" t="s">
        <v>2792</v>
      </c>
      <c r="E42" s="145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 t="s">
        <v>742</v>
      </c>
      <c r="W42" s="152"/>
      <c r="X42" s="152"/>
      <c r="Y42" s="152"/>
      <c r="Z42" s="152"/>
      <c r="AA42" s="152"/>
      <c r="AB42" s="153"/>
    </row>
    <row r="43" ht="13.5" customHeight="1">
      <c r="A43" s="148"/>
      <c r="B43" s="149"/>
      <c r="C43" s="150"/>
      <c r="D43" s="151" t="s">
        <v>2794</v>
      </c>
      <c r="E43" s="145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 t="s">
        <v>742</v>
      </c>
      <c r="X43" s="152"/>
      <c r="Y43" s="152"/>
      <c r="Z43" s="152"/>
      <c r="AA43" s="152"/>
      <c r="AB43" s="153"/>
    </row>
    <row r="44" ht="13.5" customHeight="1">
      <c r="A44" s="148"/>
      <c r="B44" s="149"/>
      <c r="C44" s="150"/>
      <c r="D44" s="151" t="s">
        <v>2795</v>
      </c>
      <c r="E44" s="145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 t="s">
        <v>742</v>
      </c>
      <c r="Y44" s="152"/>
      <c r="Z44" s="152"/>
      <c r="AA44" s="152"/>
      <c r="AB44" s="153"/>
    </row>
    <row r="45" ht="13.5" customHeight="1">
      <c r="A45" s="148"/>
      <c r="B45" s="149"/>
      <c r="C45" s="150"/>
      <c r="D45" s="151" t="s">
        <v>2796</v>
      </c>
      <c r="E45" s="145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 t="s">
        <v>742</v>
      </c>
      <c r="Z45" s="152"/>
      <c r="AA45" s="152"/>
      <c r="AB45" s="153"/>
    </row>
    <row r="46" ht="13.5" customHeight="1">
      <c r="A46" s="148"/>
      <c r="B46" s="149"/>
      <c r="C46" s="150"/>
      <c r="D46" s="151" t="s">
        <v>2797</v>
      </c>
      <c r="E46" s="145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 t="s">
        <v>742</v>
      </c>
      <c r="AA46" s="152"/>
      <c r="AB46" s="153"/>
    </row>
    <row r="47" ht="13.5" customHeight="1">
      <c r="A47" s="148"/>
      <c r="B47" s="149"/>
      <c r="C47" s="150"/>
      <c r="D47" s="151" t="s">
        <v>2798</v>
      </c>
      <c r="E47" s="145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 t="s">
        <v>742</v>
      </c>
      <c r="AB47" s="153"/>
    </row>
    <row r="48" ht="13.5" customHeight="1">
      <c r="A48" s="148"/>
      <c r="B48" s="149"/>
      <c r="C48" s="150"/>
      <c r="D48" s="151" t="s">
        <v>2799</v>
      </c>
      <c r="E48" s="145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3" t="s">
        <v>742</v>
      </c>
    </row>
    <row r="49" ht="13.5" customHeight="1">
      <c r="A49" s="148"/>
      <c r="B49" s="154"/>
      <c r="C49" s="155"/>
      <c r="D49" s="156"/>
      <c r="E49" s="157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9"/>
    </row>
    <row r="50" ht="13.5" customHeight="1">
      <c r="A50" s="160" t="s">
        <v>802</v>
      </c>
      <c r="B50" s="161" t="s">
        <v>804</v>
      </c>
      <c r="C50" s="162"/>
      <c r="D50" s="163"/>
      <c r="E50" s="164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7"/>
    </row>
    <row r="51" ht="13.5" customHeight="1">
      <c r="A51" s="165"/>
      <c r="B51" s="166"/>
      <c r="C51" s="167"/>
      <c r="D51" s="168" t="s">
        <v>2800</v>
      </c>
      <c r="E51" s="169"/>
      <c r="F51" s="152" t="s">
        <v>742</v>
      </c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3"/>
    </row>
    <row r="52" ht="13.5" customHeight="1">
      <c r="A52" s="165"/>
      <c r="B52" s="166"/>
      <c r="C52" s="167"/>
      <c r="D52" s="168" t="s">
        <v>2801</v>
      </c>
      <c r="E52" s="169"/>
      <c r="F52" s="152"/>
      <c r="G52" s="152"/>
      <c r="H52" s="152"/>
      <c r="I52" s="152" t="s">
        <v>742</v>
      </c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3"/>
    </row>
    <row r="53" ht="13.5" customHeight="1">
      <c r="A53" s="165"/>
      <c r="B53" s="166"/>
      <c r="C53" s="167"/>
      <c r="D53" s="168" t="s">
        <v>2802</v>
      </c>
      <c r="E53" s="169"/>
      <c r="F53" s="152"/>
      <c r="G53" s="152"/>
      <c r="H53" s="152"/>
      <c r="I53" s="152"/>
      <c r="J53" s="152" t="s">
        <v>742</v>
      </c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3"/>
    </row>
    <row r="54" ht="13.5" customHeight="1">
      <c r="A54" s="165"/>
      <c r="B54" s="166"/>
      <c r="C54" s="167"/>
      <c r="D54" s="168" t="s">
        <v>2803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 t="s">
        <v>742</v>
      </c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3"/>
    </row>
    <row r="55" ht="13.5" customHeight="1">
      <c r="A55" s="165"/>
      <c r="B55" s="166"/>
      <c r="C55" s="167"/>
      <c r="D55" s="168" t="s">
        <v>2804</v>
      </c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 t="s">
        <v>742</v>
      </c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3"/>
    </row>
    <row r="56" ht="13.5" customHeight="1">
      <c r="A56" s="165"/>
      <c r="B56" s="166"/>
      <c r="C56" s="167"/>
      <c r="D56" s="168" t="s">
        <v>2805</v>
      </c>
      <c r="E56" s="16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 t="s">
        <v>742</v>
      </c>
      <c r="S56" s="152"/>
      <c r="T56" s="152"/>
      <c r="U56" s="152"/>
      <c r="V56" s="152"/>
      <c r="W56" s="152"/>
      <c r="X56" s="152"/>
      <c r="Y56" s="152"/>
      <c r="Z56" s="152"/>
      <c r="AA56" s="152"/>
      <c r="AB56" s="153"/>
    </row>
    <row r="57" ht="13.5" customHeight="1">
      <c r="A57" s="165"/>
      <c r="B57" s="166"/>
      <c r="C57" s="167"/>
      <c r="D57" s="168" t="s">
        <v>2806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 t="s">
        <v>742</v>
      </c>
      <c r="T57" s="152"/>
      <c r="U57" s="152"/>
      <c r="V57" s="152"/>
      <c r="W57" s="152"/>
      <c r="X57" s="152"/>
      <c r="Y57" s="152"/>
      <c r="Z57" s="152"/>
      <c r="AA57" s="152"/>
      <c r="AB57" s="153"/>
    </row>
    <row r="58" ht="13.5" customHeight="1">
      <c r="A58" s="165"/>
      <c r="B58" s="166"/>
      <c r="C58" s="167"/>
      <c r="D58" s="168" t="s">
        <v>2807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 t="s">
        <v>742</v>
      </c>
      <c r="W58" s="152"/>
      <c r="X58" s="152"/>
      <c r="Y58" s="152"/>
      <c r="Z58" s="152"/>
      <c r="AA58" s="152"/>
      <c r="AB58" s="153"/>
    </row>
    <row r="59" ht="13.5" customHeight="1">
      <c r="A59" s="165"/>
      <c r="B59" s="166"/>
      <c r="C59" s="167"/>
      <c r="D59" s="168" t="s">
        <v>2808</v>
      </c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 t="s">
        <v>742</v>
      </c>
      <c r="Y59" s="152"/>
      <c r="Z59" s="152"/>
      <c r="AA59" s="152"/>
      <c r="AB59" s="153"/>
    </row>
    <row r="60" ht="13.5" customHeight="1">
      <c r="A60" s="165"/>
      <c r="B60" s="166"/>
      <c r="C60" s="167"/>
      <c r="D60" s="168" t="s">
        <v>2809</v>
      </c>
      <c r="E60" s="169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 t="s">
        <v>742</v>
      </c>
      <c r="AA60" s="152"/>
      <c r="AB60" s="153"/>
    </row>
    <row r="61" ht="13.5" customHeight="1">
      <c r="A61" s="165"/>
      <c r="B61" s="166"/>
      <c r="C61" s="167"/>
      <c r="D61" s="168" t="s">
        <v>2810</v>
      </c>
      <c r="E61" s="169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 t="s">
        <v>742</v>
      </c>
      <c r="AB61" s="153"/>
    </row>
    <row r="62" ht="13.5" customHeight="1">
      <c r="A62" s="165"/>
      <c r="B62" s="166" t="s">
        <v>825</v>
      </c>
      <c r="C62" s="167"/>
      <c r="D62" s="168"/>
      <c r="E62" s="169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3"/>
    </row>
    <row r="63" ht="13.5" customHeight="1">
      <c r="A63" s="165"/>
      <c r="B63" s="166"/>
      <c r="C63" s="167"/>
      <c r="D63" s="168" t="s">
        <v>2811</v>
      </c>
      <c r="E63" s="169"/>
      <c r="F63" s="152"/>
      <c r="G63" s="152" t="s">
        <v>742</v>
      </c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3"/>
    </row>
    <row r="64" ht="13.5" customHeight="1">
      <c r="A64" s="165"/>
      <c r="B64" s="166"/>
      <c r="C64" s="167"/>
      <c r="D64" s="168" t="s">
        <v>2812</v>
      </c>
      <c r="E64" s="169"/>
      <c r="F64" s="152"/>
      <c r="G64" s="152"/>
      <c r="H64" s="152" t="s">
        <v>742</v>
      </c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3"/>
    </row>
    <row r="65" ht="13.5" customHeight="1">
      <c r="A65" s="165"/>
      <c r="B65" s="166"/>
      <c r="C65" s="167"/>
      <c r="D65" s="168" t="s">
        <v>2813</v>
      </c>
      <c r="E65" s="169"/>
      <c r="F65" s="152"/>
      <c r="G65" s="152"/>
      <c r="H65" s="152"/>
      <c r="I65" s="152"/>
      <c r="J65" s="152"/>
      <c r="K65" s="152" t="s">
        <v>742</v>
      </c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3"/>
    </row>
    <row r="66" ht="13.5" customHeight="1">
      <c r="A66" s="165"/>
      <c r="B66" s="166"/>
      <c r="C66" s="167"/>
      <c r="D66" s="168" t="s">
        <v>2814</v>
      </c>
      <c r="E66" s="169"/>
      <c r="F66" s="152"/>
      <c r="G66" s="152"/>
      <c r="H66" s="152"/>
      <c r="I66" s="152"/>
      <c r="J66" s="152"/>
      <c r="K66" s="152"/>
      <c r="L66" s="152" t="s">
        <v>742</v>
      </c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3"/>
    </row>
    <row r="67" ht="13.5" customHeight="1">
      <c r="A67" s="165"/>
      <c r="B67" s="166"/>
      <c r="C67" s="167"/>
      <c r="D67" s="168" t="s">
        <v>2815</v>
      </c>
      <c r="E67" s="169"/>
      <c r="F67" s="152"/>
      <c r="G67" s="152"/>
      <c r="H67" s="152"/>
      <c r="I67" s="152"/>
      <c r="J67" s="152"/>
      <c r="K67" s="152"/>
      <c r="L67" s="152"/>
      <c r="M67" s="152" t="s">
        <v>742</v>
      </c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3"/>
    </row>
    <row r="68" ht="13.5" customHeight="1">
      <c r="A68" s="165"/>
      <c r="B68" s="166"/>
      <c r="C68" s="167"/>
      <c r="D68" s="168" t="s">
        <v>2816</v>
      </c>
      <c r="E68" s="169"/>
      <c r="F68" s="152"/>
      <c r="G68" s="152"/>
      <c r="H68" s="152"/>
      <c r="I68" s="152"/>
      <c r="J68" s="152"/>
      <c r="K68" s="152"/>
      <c r="L68" s="152"/>
      <c r="M68" s="152"/>
      <c r="N68" s="152"/>
      <c r="O68" s="152" t="s">
        <v>742</v>
      </c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3"/>
    </row>
    <row r="69" ht="13.5" customHeight="1">
      <c r="A69" s="165"/>
      <c r="B69" s="166"/>
      <c r="C69" s="167"/>
      <c r="D69" s="168" t="s">
        <v>2817</v>
      </c>
      <c r="E69" s="169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 t="s">
        <v>742</v>
      </c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3"/>
    </row>
    <row r="70" ht="13.5" customHeight="1">
      <c r="A70" s="165"/>
      <c r="B70" s="166"/>
      <c r="C70" s="167"/>
      <c r="D70" s="168" t="s">
        <v>2818</v>
      </c>
      <c r="E70" s="169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 t="s">
        <v>742</v>
      </c>
      <c r="U70" s="152"/>
      <c r="V70" s="152"/>
      <c r="W70" s="152"/>
      <c r="X70" s="152"/>
      <c r="Y70" s="152"/>
      <c r="Z70" s="152"/>
      <c r="AA70" s="152"/>
      <c r="AB70" s="153"/>
    </row>
    <row r="71" ht="13.5" customHeight="1">
      <c r="A71" s="165"/>
      <c r="B71" s="166"/>
      <c r="C71" s="167"/>
      <c r="D71" s="168" t="s">
        <v>2819</v>
      </c>
      <c r="E71" s="169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 t="s">
        <v>742</v>
      </c>
      <c r="V71" s="152"/>
      <c r="W71" s="152"/>
      <c r="X71" s="152"/>
      <c r="Y71" s="152"/>
      <c r="Z71" s="152"/>
      <c r="AA71" s="152"/>
      <c r="AB71" s="153"/>
    </row>
    <row r="72" ht="13.5" customHeight="1">
      <c r="A72" s="165"/>
      <c r="B72" s="166"/>
      <c r="C72" s="167"/>
      <c r="D72" s="168" t="s">
        <v>2820</v>
      </c>
      <c r="E72" s="169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 t="s">
        <v>742</v>
      </c>
      <c r="X72" s="152"/>
      <c r="Y72" s="152"/>
      <c r="Z72" s="152"/>
      <c r="AA72" s="152"/>
      <c r="AB72" s="153"/>
    </row>
    <row r="73" ht="13.5" customHeight="1">
      <c r="A73" s="165"/>
      <c r="B73" s="166"/>
      <c r="C73" s="167"/>
      <c r="D73" s="168" t="s">
        <v>2821</v>
      </c>
      <c r="E73" s="169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 t="s">
        <v>742</v>
      </c>
      <c r="Z73" s="152"/>
      <c r="AA73" s="152"/>
      <c r="AB73" s="153"/>
    </row>
    <row r="74" ht="13.5" customHeight="1">
      <c r="A74" s="165"/>
      <c r="B74" s="166"/>
      <c r="C74" s="167"/>
      <c r="D74" s="168" t="s">
        <v>2822</v>
      </c>
      <c r="E74" s="169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3" t="s">
        <v>742</v>
      </c>
    </row>
    <row r="75" ht="13.5" customHeight="1">
      <c r="A75" s="165"/>
      <c r="B75" s="166" t="s">
        <v>854</v>
      </c>
      <c r="C75" s="167"/>
      <c r="D75" s="168"/>
      <c r="E75" s="169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3"/>
    </row>
    <row r="76" ht="13.5" customHeight="1">
      <c r="A76" s="165"/>
      <c r="B76" s="170"/>
      <c r="C76" s="171"/>
      <c r="D76" s="172"/>
      <c r="E76" s="173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5"/>
    </row>
    <row r="77" ht="13.5" customHeight="1">
      <c r="A77" s="160" t="s">
        <v>865</v>
      </c>
      <c r="B77" s="176" t="s">
        <v>866</v>
      </c>
      <c r="C77" s="177"/>
      <c r="D77" s="178"/>
      <c r="E77" s="179"/>
      <c r="F77" s="180" t="s">
        <v>54</v>
      </c>
      <c r="G77" s="180" t="s">
        <v>55</v>
      </c>
      <c r="H77" s="180" t="s">
        <v>55</v>
      </c>
      <c r="I77" s="180" t="s">
        <v>54</v>
      </c>
      <c r="J77" s="180" t="s">
        <v>54</v>
      </c>
      <c r="K77" s="180" t="s">
        <v>55</v>
      </c>
      <c r="L77" s="180" t="s">
        <v>55</v>
      </c>
      <c r="M77" s="180" t="s">
        <v>55</v>
      </c>
      <c r="N77" s="180" t="s">
        <v>54</v>
      </c>
      <c r="O77" s="180" t="s">
        <v>55</v>
      </c>
      <c r="P77" s="180" t="s">
        <v>55</v>
      </c>
      <c r="Q77" s="180" t="s">
        <v>54</v>
      </c>
      <c r="R77" s="180" t="s">
        <v>54</v>
      </c>
      <c r="S77" s="180" t="s">
        <v>54</v>
      </c>
      <c r="T77" s="180" t="s">
        <v>55</v>
      </c>
      <c r="U77" s="180" t="s">
        <v>55</v>
      </c>
      <c r="V77" s="180" t="s">
        <v>54</v>
      </c>
      <c r="W77" s="180" t="s">
        <v>55</v>
      </c>
      <c r="X77" s="180" t="s">
        <v>57</v>
      </c>
      <c r="Y77" s="180" t="s">
        <v>55</v>
      </c>
      <c r="Z77" s="180" t="s">
        <v>54</v>
      </c>
      <c r="AA77" s="180" t="s">
        <v>54</v>
      </c>
      <c r="AB77" s="181" t="s">
        <v>55</v>
      </c>
    </row>
    <row r="78" ht="13.5" customHeight="1">
      <c r="A78" s="165"/>
      <c r="B78" s="182" t="s">
        <v>867</v>
      </c>
      <c r="C78" s="27"/>
      <c r="D78" s="25"/>
      <c r="E78" s="183"/>
      <c r="F78" s="184" t="s">
        <v>868</v>
      </c>
      <c r="G78" s="184" t="s">
        <v>868</v>
      </c>
      <c r="H78" s="184" t="s">
        <v>868</v>
      </c>
      <c r="I78" s="184" t="s">
        <v>868</v>
      </c>
      <c r="J78" s="184" t="s">
        <v>868</v>
      </c>
      <c r="K78" s="184" t="s">
        <v>868</v>
      </c>
      <c r="L78" s="184" t="s">
        <v>868</v>
      </c>
      <c r="M78" s="184" t="s">
        <v>868</v>
      </c>
      <c r="N78" s="184" t="s">
        <v>868</v>
      </c>
      <c r="O78" s="184" t="s">
        <v>868</v>
      </c>
      <c r="P78" s="184" t="s">
        <v>868</v>
      </c>
      <c r="Q78" s="184" t="s">
        <v>868</v>
      </c>
      <c r="R78" s="184" t="s">
        <v>868</v>
      </c>
      <c r="S78" s="184" t="s">
        <v>868</v>
      </c>
      <c r="T78" s="184" t="s">
        <v>868</v>
      </c>
      <c r="U78" s="184" t="s">
        <v>868</v>
      </c>
      <c r="V78" s="184" t="s">
        <v>868</v>
      </c>
      <c r="W78" s="184" t="s">
        <v>868</v>
      </c>
      <c r="X78" s="184" t="s">
        <v>868</v>
      </c>
      <c r="Y78" s="184" t="s">
        <v>868</v>
      </c>
      <c r="Z78" s="184" t="s">
        <v>868</v>
      </c>
      <c r="AA78" s="184" t="s">
        <v>868</v>
      </c>
      <c r="AB78" s="185" t="s">
        <v>868</v>
      </c>
    </row>
    <row r="79" ht="99.75" customHeight="1">
      <c r="A79" s="165"/>
      <c r="B79" s="186" t="s">
        <v>869</v>
      </c>
      <c r="C79" s="27"/>
      <c r="D79" s="25"/>
      <c r="E79" s="169"/>
      <c r="F79" s="187">
        <v>46309.0</v>
      </c>
      <c r="G79" s="187">
        <v>46309.0</v>
      </c>
      <c r="H79" s="187">
        <v>46309.0</v>
      </c>
      <c r="I79" s="187">
        <v>46309.0</v>
      </c>
      <c r="J79" s="187">
        <v>46309.0</v>
      </c>
      <c r="K79" s="187">
        <v>46309.0</v>
      </c>
      <c r="L79" s="187">
        <v>46309.0</v>
      </c>
      <c r="M79" s="187">
        <v>46309.0</v>
      </c>
      <c r="N79" s="187">
        <v>46309.0</v>
      </c>
      <c r="O79" s="187">
        <v>46309.0</v>
      </c>
      <c r="P79" s="187">
        <v>46309.0</v>
      </c>
      <c r="Q79" s="187">
        <v>46309.0</v>
      </c>
      <c r="R79" s="187">
        <v>46309.0</v>
      </c>
      <c r="S79" s="187">
        <v>46309.0</v>
      </c>
      <c r="T79" s="187">
        <v>46309.0</v>
      </c>
      <c r="U79" s="187">
        <v>46309.0</v>
      </c>
      <c r="V79" s="187">
        <v>46309.0</v>
      </c>
      <c r="W79" s="187">
        <v>46309.0</v>
      </c>
      <c r="X79" s="187">
        <v>46309.0</v>
      </c>
      <c r="Y79" s="187">
        <v>46309.0</v>
      </c>
      <c r="Z79" s="187">
        <v>46309.0</v>
      </c>
      <c r="AA79" s="187">
        <v>46309.0</v>
      </c>
      <c r="AB79" s="188">
        <v>46309.0</v>
      </c>
    </row>
    <row r="80" ht="72.75" customHeight="1">
      <c r="A80" s="190"/>
      <c r="B80" s="191" t="s">
        <v>870</v>
      </c>
      <c r="C80" s="192"/>
      <c r="D80" s="193"/>
      <c r="E80" s="194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6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AB4"/>
    <mergeCell ref="C5:AB5"/>
    <mergeCell ref="A2:B2"/>
    <mergeCell ref="C2:E2"/>
    <mergeCell ref="F2:K2"/>
    <mergeCell ref="L2:AB2"/>
    <mergeCell ref="C3:E3"/>
    <mergeCell ref="F3:K3"/>
    <mergeCell ref="L3:AB3"/>
    <mergeCell ref="F6:K6"/>
    <mergeCell ref="L6:N6"/>
    <mergeCell ref="O6:AB6"/>
    <mergeCell ref="A7:B7"/>
    <mergeCell ref="C7:E7"/>
    <mergeCell ref="F7:K7"/>
    <mergeCell ref="O7:AB7"/>
    <mergeCell ref="B77:D77"/>
    <mergeCell ref="B78:D78"/>
    <mergeCell ref="B79:D79"/>
    <mergeCell ref="B80:D80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641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539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290.0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2823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COUNTIF(F49:T49,"P")</f>
        <v>13</v>
      </c>
      <c r="B7" s="130"/>
      <c r="C7" s="131">
        <f>COUNTIF(F49:T49,"F")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COUNTIF(F48:T48,"N")</f>
        <v>4</v>
      </c>
      <c r="M7" s="132">
        <f>COUNTIF(F48:T48,"A")</f>
        <v>9</v>
      </c>
      <c r="N7" s="132">
        <f>COUNTIF(F48:T48,"B")</f>
        <v>0</v>
      </c>
      <c r="O7" s="133">
        <f>COUNTA(F9:T9)</f>
        <v>13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2825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2826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2827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2828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2829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2831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 t="s">
        <v>742</v>
      </c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2832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2834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2663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 t="s">
        <v>742</v>
      </c>
      <c r="P19" s="152"/>
      <c r="Q19" s="152"/>
      <c r="R19" s="152" t="s">
        <v>742</v>
      </c>
      <c r="S19" s="152"/>
      <c r="T19" s="153"/>
    </row>
    <row r="20" ht="13.5" customHeight="1">
      <c r="A20" s="148"/>
      <c r="B20" s="149"/>
      <c r="C20" s="150"/>
      <c r="D20" s="151" t="s">
        <v>2837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 t="s">
        <v>742</v>
      </c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2839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 t="s">
        <v>742</v>
      </c>
      <c r="R21" s="152"/>
      <c r="S21" s="152"/>
      <c r="T21" s="153"/>
    </row>
    <row r="22" ht="13.5" customHeight="1">
      <c r="A22" s="148"/>
      <c r="B22" s="149" t="s">
        <v>768</v>
      </c>
      <c r="C22" s="150"/>
      <c r="D22" s="151"/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2842</v>
      </c>
      <c r="E23" s="145"/>
      <c r="F23" s="152" t="s">
        <v>742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2843</v>
      </c>
      <c r="E24" s="145"/>
      <c r="F24" s="152"/>
      <c r="G24" s="152" t="s">
        <v>742</v>
      </c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2846</v>
      </c>
      <c r="E25" s="145"/>
      <c r="F25" s="152"/>
      <c r="G25" s="152"/>
      <c r="H25" s="152" t="s">
        <v>742</v>
      </c>
      <c r="I25" s="152" t="s">
        <v>742</v>
      </c>
      <c r="J25" s="152"/>
      <c r="K25" s="152" t="s">
        <v>742</v>
      </c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2848</v>
      </c>
      <c r="E26" s="145"/>
      <c r="F26" s="152"/>
      <c r="G26" s="152"/>
      <c r="H26" s="152"/>
      <c r="I26" s="152"/>
      <c r="J26" s="152" t="s">
        <v>742</v>
      </c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2850</v>
      </c>
      <c r="E27" s="145"/>
      <c r="F27" s="152"/>
      <c r="G27" s="152"/>
      <c r="H27" s="152"/>
      <c r="I27" s="152"/>
      <c r="J27" s="152"/>
      <c r="K27" s="152"/>
      <c r="L27" s="152" t="s">
        <v>742</v>
      </c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2851</v>
      </c>
      <c r="E28" s="145"/>
      <c r="F28" s="152"/>
      <c r="G28" s="152"/>
      <c r="H28" s="152"/>
      <c r="I28" s="152"/>
      <c r="J28" s="152"/>
      <c r="K28" s="152"/>
      <c r="L28" s="152"/>
      <c r="M28" s="152" t="s">
        <v>742</v>
      </c>
      <c r="N28" s="152" t="s">
        <v>742</v>
      </c>
      <c r="O28" s="152" t="s">
        <v>742</v>
      </c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2853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 t="s">
        <v>742</v>
      </c>
      <c r="Q29" s="152" t="s">
        <v>742</v>
      </c>
      <c r="R29" s="152"/>
      <c r="S29" s="152"/>
      <c r="T29" s="153"/>
    </row>
    <row r="30" ht="13.5" customHeight="1">
      <c r="A30" s="148"/>
      <c r="B30" s="149"/>
      <c r="C30" s="150"/>
      <c r="D30" s="151" t="s">
        <v>2857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 t="s">
        <v>742</v>
      </c>
      <c r="S30" s="152"/>
      <c r="T30" s="153"/>
    </row>
    <row r="31" ht="13.5" customHeight="1">
      <c r="A31" s="148"/>
      <c r="B31" s="154"/>
      <c r="C31" s="155"/>
      <c r="D31" s="156"/>
      <c r="E31" s="15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9"/>
    </row>
    <row r="32" ht="13.5" customHeight="1">
      <c r="A32" s="160" t="s">
        <v>802</v>
      </c>
      <c r="B32" s="161" t="s">
        <v>804</v>
      </c>
      <c r="C32" s="162"/>
      <c r="D32" s="163"/>
      <c r="E32" s="164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7"/>
    </row>
    <row r="33" ht="13.5" customHeight="1">
      <c r="A33" s="165"/>
      <c r="B33" s="166"/>
      <c r="C33" s="167"/>
      <c r="D33" s="168" t="s">
        <v>2861</v>
      </c>
      <c r="E33" s="169"/>
      <c r="F33" s="152" t="s">
        <v>742</v>
      </c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2862</v>
      </c>
      <c r="E34" s="169"/>
      <c r="F34" s="152"/>
      <c r="G34" s="152" t="s">
        <v>742</v>
      </c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2865</v>
      </c>
      <c r="E35" s="169"/>
      <c r="F35" s="152"/>
      <c r="G35" s="152"/>
      <c r="H35" s="152"/>
      <c r="I35" s="152"/>
      <c r="J35" s="152"/>
      <c r="K35" s="152"/>
      <c r="L35" s="152" t="s">
        <v>742</v>
      </c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2867</v>
      </c>
      <c r="E36" s="169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 t="s">
        <v>742</v>
      </c>
      <c r="Q36" s="152"/>
      <c r="R36" s="152"/>
      <c r="S36" s="152"/>
      <c r="T36" s="153"/>
    </row>
    <row r="37" ht="13.5" customHeight="1">
      <c r="A37" s="165"/>
      <c r="B37" s="166" t="s">
        <v>825</v>
      </c>
      <c r="C37" s="167"/>
      <c r="D37" s="168"/>
      <c r="E37" s="169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2871</v>
      </c>
      <c r="E38" s="169"/>
      <c r="F38" s="152"/>
      <c r="G38" s="152"/>
      <c r="H38" s="152" t="s">
        <v>742</v>
      </c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2873</v>
      </c>
      <c r="E39" s="169"/>
      <c r="F39" s="152"/>
      <c r="G39" s="152"/>
      <c r="H39" s="152"/>
      <c r="I39" s="152" t="s">
        <v>742</v>
      </c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2877</v>
      </c>
      <c r="E40" s="169"/>
      <c r="F40" s="152"/>
      <c r="G40" s="152"/>
      <c r="H40" s="152"/>
      <c r="I40" s="152"/>
      <c r="J40" s="152" t="s">
        <v>742</v>
      </c>
      <c r="K40" s="152"/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2879</v>
      </c>
      <c r="E41" s="169"/>
      <c r="F41" s="152"/>
      <c r="G41" s="152"/>
      <c r="H41" s="152"/>
      <c r="I41" s="152"/>
      <c r="J41" s="152"/>
      <c r="K41" s="152" t="s">
        <v>742</v>
      </c>
      <c r="L41" s="152"/>
      <c r="M41" s="152"/>
      <c r="N41" s="152" t="s">
        <v>742</v>
      </c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2881</v>
      </c>
      <c r="E42" s="169"/>
      <c r="F42" s="152"/>
      <c r="G42" s="152"/>
      <c r="H42" s="152"/>
      <c r="I42" s="152"/>
      <c r="J42" s="152"/>
      <c r="K42" s="152"/>
      <c r="L42" s="152"/>
      <c r="M42" s="152" t="s">
        <v>742</v>
      </c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2884</v>
      </c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 t="s">
        <v>742</v>
      </c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2886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 t="s">
        <v>742</v>
      </c>
      <c r="R44" s="152"/>
      <c r="S44" s="152"/>
      <c r="T44" s="153"/>
    </row>
    <row r="45" ht="13.5" customHeight="1">
      <c r="A45" s="165"/>
      <c r="B45" s="166"/>
      <c r="C45" s="167"/>
      <c r="D45" s="168" t="s">
        <v>2888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 t="s">
        <v>742</v>
      </c>
      <c r="S45" s="152"/>
      <c r="T45" s="153"/>
    </row>
    <row r="46" ht="13.5" customHeight="1">
      <c r="A46" s="165"/>
      <c r="B46" s="166" t="s">
        <v>854</v>
      </c>
      <c r="C46" s="167"/>
      <c r="D46" s="168"/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3"/>
    </row>
    <row r="47" ht="13.5" customHeight="1">
      <c r="A47" s="165"/>
      <c r="B47" s="170"/>
      <c r="C47" s="171"/>
      <c r="D47" s="172"/>
      <c r="E47" s="173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5"/>
    </row>
    <row r="48" ht="13.5" customHeight="1">
      <c r="A48" s="160" t="s">
        <v>865</v>
      </c>
      <c r="B48" s="176" t="s">
        <v>866</v>
      </c>
      <c r="C48" s="177"/>
      <c r="D48" s="178"/>
      <c r="E48" s="179"/>
      <c r="F48" s="180" t="s">
        <v>54</v>
      </c>
      <c r="G48" s="180" t="s">
        <v>54</v>
      </c>
      <c r="H48" s="180" t="s">
        <v>55</v>
      </c>
      <c r="I48" s="180" t="s">
        <v>55</v>
      </c>
      <c r="J48" s="180" t="s">
        <v>55</v>
      </c>
      <c r="K48" s="180" t="s">
        <v>55</v>
      </c>
      <c r="L48" s="180" t="s">
        <v>54</v>
      </c>
      <c r="M48" s="180" t="s">
        <v>55</v>
      </c>
      <c r="N48" s="180" t="s">
        <v>55</v>
      </c>
      <c r="O48" s="180" t="s">
        <v>55</v>
      </c>
      <c r="P48" s="180" t="s">
        <v>54</v>
      </c>
      <c r="Q48" s="180" t="s">
        <v>55</v>
      </c>
      <c r="R48" s="180" t="s">
        <v>55</v>
      </c>
      <c r="S48" s="180"/>
      <c r="T48" s="181"/>
    </row>
    <row r="49" ht="13.5" customHeight="1">
      <c r="A49" s="165"/>
      <c r="B49" s="182" t="s">
        <v>867</v>
      </c>
      <c r="C49" s="27"/>
      <c r="D49" s="25"/>
      <c r="E49" s="183"/>
      <c r="F49" s="184" t="s">
        <v>868</v>
      </c>
      <c r="G49" s="184" t="s">
        <v>868</v>
      </c>
      <c r="H49" s="184" t="s">
        <v>868</v>
      </c>
      <c r="I49" s="184" t="s">
        <v>868</v>
      </c>
      <c r="J49" s="184" t="s">
        <v>868</v>
      </c>
      <c r="K49" s="184" t="s">
        <v>868</v>
      </c>
      <c r="L49" s="184" t="s">
        <v>868</v>
      </c>
      <c r="M49" s="184" t="s">
        <v>868</v>
      </c>
      <c r="N49" s="184" t="s">
        <v>868</v>
      </c>
      <c r="O49" s="184" t="s">
        <v>868</v>
      </c>
      <c r="P49" s="184" t="s">
        <v>868</v>
      </c>
      <c r="Q49" s="184" t="s">
        <v>868</v>
      </c>
      <c r="R49" s="184" t="s">
        <v>868</v>
      </c>
      <c r="S49" s="184"/>
      <c r="T49" s="185"/>
    </row>
    <row r="50" ht="99.75" customHeight="1">
      <c r="A50" s="165"/>
      <c r="B50" s="186" t="s">
        <v>869</v>
      </c>
      <c r="C50" s="27"/>
      <c r="D50" s="25"/>
      <c r="E50" s="169"/>
      <c r="F50" s="187">
        <v>46309.0</v>
      </c>
      <c r="G50" s="187">
        <v>46309.0</v>
      </c>
      <c r="H50" s="187">
        <v>46309.0</v>
      </c>
      <c r="I50" s="187">
        <v>46309.0</v>
      </c>
      <c r="J50" s="187">
        <v>46309.0</v>
      </c>
      <c r="K50" s="187">
        <v>46309.0</v>
      </c>
      <c r="L50" s="187">
        <v>46309.0</v>
      </c>
      <c r="M50" s="187">
        <v>46309.0</v>
      </c>
      <c r="N50" s="187">
        <v>46309.0</v>
      </c>
      <c r="O50" s="187">
        <v>46309.0</v>
      </c>
      <c r="P50" s="187">
        <v>46309.0</v>
      </c>
      <c r="Q50" s="187">
        <v>46309.0</v>
      </c>
      <c r="R50" s="187">
        <v>46309.0</v>
      </c>
      <c r="S50" s="187"/>
      <c r="T50" s="188"/>
    </row>
    <row r="51" ht="72.75" customHeight="1">
      <c r="A51" s="190"/>
      <c r="B51" s="191" t="s">
        <v>870</v>
      </c>
      <c r="C51" s="192"/>
      <c r="D51" s="193"/>
      <c r="E51" s="194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6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8:D48"/>
    <mergeCell ref="B49:D49"/>
    <mergeCell ref="B50:D50"/>
    <mergeCell ref="B51:D51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652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548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298.0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2824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COUNTIF(F49:T49,"P")</f>
        <v>13</v>
      </c>
      <c r="B7" s="130"/>
      <c r="C7" s="131">
        <f>COUNTIF(F49:T49,"F")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COUNTIF(F48:T48,"N")</f>
        <v>7</v>
      </c>
      <c r="M7" s="132">
        <f>COUNTIF(F48:T48,"A")</f>
        <v>5</v>
      </c>
      <c r="N7" s="132">
        <f>COUNTIF(F48:T48,"B")</f>
        <v>1</v>
      </c>
      <c r="O7" s="133">
        <f>COUNTA(F9:T9)</f>
        <v>13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2830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2663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2833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2835</v>
      </c>
      <c r="E14" s="145"/>
      <c r="F14" s="152"/>
      <c r="G14" s="152"/>
      <c r="H14" s="152"/>
      <c r="I14" s="152" t="s">
        <v>742</v>
      </c>
      <c r="J14" s="152" t="s">
        <v>742</v>
      </c>
      <c r="K14" s="152" t="s">
        <v>742</v>
      </c>
      <c r="L14" s="152" t="s">
        <v>742</v>
      </c>
      <c r="M14" s="152" t="s">
        <v>742</v>
      </c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2836</v>
      </c>
      <c r="E15" s="145"/>
      <c r="F15" s="152"/>
      <c r="G15" s="152"/>
      <c r="H15" s="152"/>
      <c r="I15" s="152"/>
      <c r="J15" s="152"/>
      <c r="K15" s="152"/>
      <c r="L15" s="152"/>
      <c r="M15" s="152"/>
      <c r="N15" s="152" t="s">
        <v>742</v>
      </c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2838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/>
      <c r="O16" s="152" t="s">
        <v>742</v>
      </c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2840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 t="s">
        <v>742</v>
      </c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2841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 t="s">
        <v>742</v>
      </c>
      <c r="R18" s="152" t="s">
        <v>742</v>
      </c>
      <c r="S18" s="152"/>
      <c r="T18" s="153"/>
    </row>
    <row r="19" ht="13.5" customHeight="1">
      <c r="A19" s="148"/>
      <c r="B19" s="149" t="s">
        <v>768</v>
      </c>
      <c r="C19" s="150"/>
      <c r="D19" s="151"/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2845</v>
      </c>
      <c r="E20" s="145"/>
      <c r="F20" s="152" t="s">
        <v>742</v>
      </c>
      <c r="G20" s="152" t="s">
        <v>742</v>
      </c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2847</v>
      </c>
      <c r="E21" s="145"/>
      <c r="F21" s="152"/>
      <c r="G21" s="152"/>
      <c r="H21" s="152" t="s">
        <v>742</v>
      </c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2849</v>
      </c>
      <c r="E22" s="145"/>
      <c r="F22" s="152"/>
      <c r="G22" s="152"/>
      <c r="H22" s="152"/>
      <c r="I22" s="152" t="s">
        <v>742</v>
      </c>
      <c r="J22" s="152"/>
      <c r="K22" s="152"/>
      <c r="L22" s="152"/>
      <c r="M22" s="152"/>
      <c r="N22" s="152" t="s">
        <v>742</v>
      </c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2852</v>
      </c>
      <c r="E23" s="145"/>
      <c r="F23" s="152"/>
      <c r="G23" s="152"/>
      <c r="H23" s="152"/>
      <c r="I23" s="152"/>
      <c r="J23" s="152" t="s">
        <v>742</v>
      </c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2854</v>
      </c>
      <c r="E24" s="145"/>
      <c r="F24" s="152"/>
      <c r="G24" s="152"/>
      <c r="H24" s="152"/>
      <c r="I24" s="152"/>
      <c r="J24" s="152"/>
      <c r="K24" s="152" t="s">
        <v>742</v>
      </c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2855</v>
      </c>
      <c r="E25" s="145"/>
      <c r="F25" s="152"/>
      <c r="G25" s="152"/>
      <c r="H25" s="152"/>
      <c r="I25" s="152"/>
      <c r="J25" s="152"/>
      <c r="K25" s="152"/>
      <c r="L25" s="152" t="s">
        <v>742</v>
      </c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2856</v>
      </c>
      <c r="E26" s="145"/>
      <c r="F26" s="152"/>
      <c r="G26" s="152"/>
      <c r="H26" s="152"/>
      <c r="I26" s="152"/>
      <c r="J26" s="152"/>
      <c r="K26" s="152"/>
      <c r="L26" s="152"/>
      <c r="M26" s="152" t="s">
        <v>742</v>
      </c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2858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/>
      <c r="O27" s="152" t="s">
        <v>742</v>
      </c>
      <c r="P27" s="152" t="s">
        <v>742</v>
      </c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2859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 t="s">
        <v>742</v>
      </c>
      <c r="R28" s="152"/>
      <c r="S28" s="152"/>
      <c r="T28" s="153"/>
    </row>
    <row r="29" ht="13.5" customHeight="1">
      <c r="A29" s="148"/>
      <c r="B29" s="149"/>
      <c r="C29" s="150"/>
      <c r="D29" s="151" t="s">
        <v>2860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 t="s">
        <v>742</v>
      </c>
      <c r="S29" s="152"/>
      <c r="T29" s="153"/>
    </row>
    <row r="30" ht="13.5" customHeight="1">
      <c r="A30" s="148"/>
      <c r="B30" s="154"/>
      <c r="C30" s="155"/>
      <c r="D30" s="156"/>
      <c r="E30" s="157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9"/>
    </row>
    <row r="31" ht="13.5" customHeight="1">
      <c r="A31" s="160" t="s">
        <v>802</v>
      </c>
      <c r="B31" s="161" t="s">
        <v>804</v>
      </c>
      <c r="C31" s="162"/>
      <c r="D31" s="163"/>
      <c r="E31" s="164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7"/>
    </row>
    <row r="32" ht="13.5" customHeight="1">
      <c r="A32" s="165"/>
      <c r="B32" s="166"/>
      <c r="C32" s="167"/>
      <c r="D32" s="168" t="s">
        <v>2863</v>
      </c>
      <c r="E32" s="169"/>
      <c r="F32" s="152" t="s">
        <v>742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2866</v>
      </c>
      <c r="E33" s="169"/>
      <c r="F33" s="152"/>
      <c r="G33" s="152"/>
      <c r="H33" s="152"/>
      <c r="I33" s="152" t="s">
        <v>742</v>
      </c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2869</v>
      </c>
      <c r="E34" s="169"/>
      <c r="F34" s="152"/>
      <c r="G34" s="152"/>
      <c r="H34" s="152"/>
      <c r="I34" s="152"/>
      <c r="J34" s="152" t="s">
        <v>742</v>
      </c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2872</v>
      </c>
      <c r="E35" s="169"/>
      <c r="F35" s="152"/>
      <c r="G35" s="152"/>
      <c r="H35" s="152"/>
      <c r="I35" s="152"/>
      <c r="J35" s="152"/>
      <c r="K35" s="152" t="s">
        <v>742</v>
      </c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2874</v>
      </c>
      <c r="E36" s="169"/>
      <c r="F36" s="152"/>
      <c r="G36" s="152"/>
      <c r="H36" s="152"/>
      <c r="I36" s="152"/>
      <c r="J36" s="152"/>
      <c r="K36" s="152"/>
      <c r="L36" s="152" t="s">
        <v>742</v>
      </c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2876</v>
      </c>
      <c r="E37" s="169"/>
      <c r="F37" s="152"/>
      <c r="G37" s="152"/>
      <c r="H37" s="152"/>
      <c r="I37" s="152"/>
      <c r="J37" s="152"/>
      <c r="K37" s="152"/>
      <c r="L37" s="152"/>
      <c r="M37" s="152"/>
      <c r="N37" s="152" t="s">
        <v>742</v>
      </c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2880</v>
      </c>
      <c r="E38" s="169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 t="s">
        <v>742</v>
      </c>
      <c r="R38" s="152"/>
      <c r="S38" s="152"/>
      <c r="T38" s="153"/>
    </row>
    <row r="39" ht="13.5" customHeight="1">
      <c r="A39" s="165"/>
      <c r="B39" s="166"/>
      <c r="C39" s="167"/>
      <c r="D39" s="168" t="s">
        <v>2883</v>
      </c>
      <c r="E39" s="169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 t="s">
        <v>742</v>
      </c>
      <c r="S39" s="152"/>
      <c r="T39" s="153"/>
    </row>
    <row r="40" ht="13.5" customHeight="1">
      <c r="A40" s="165"/>
      <c r="B40" s="166" t="s">
        <v>825</v>
      </c>
      <c r="C40" s="167"/>
      <c r="D40" s="168"/>
      <c r="E40" s="169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2778</v>
      </c>
      <c r="E41" s="169"/>
      <c r="F41" s="152"/>
      <c r="G41" s="152" t="s">
        <v>742</v>
      </c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2890</v>
      </c>
      <c r="E42" s="169"/>
      <c r="F42" s="152"/>
      <c r="G42" s="152"/>
      <c r="H42" s="152" t="s">
        <v>742</v>
      </c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2891</v>
      </c>
      <c r="E43" s="169"/>
      <c r="F43" s="152"/>
      <c r="G43" s="152"/>
      <c r="H43" s="152"/>
      <c r="I43" s="152"/>
      <c r="J43" s="152"/>
      <c r="K43" s="152"/>
      <c r="L43" s="152"/>
      <c r="M43" s="152" t="s">
        <v>742</v>
      </c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2893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 t="s">
        <v>742</v>
      </c>
      <c r="P44" s="152"/>
      <c r="Q44" s="152"/>
      <c r="R44" s="152"/>
      <c r="S44" s="152"/>
      <c r="T44" s="153"/>
    </row>
    <row r="45" ht="13.5" customHeight="1">
      <c r="A45" s="165"/>
      <c r="B45" s="166"/>
      <c r="C45" s="167"/>
      <c r="D45" s="168" t="s">
        <v>2895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 t="s">
        <v>742</v>
      </c>
      <c r="Q45" s="152"/>
      <c r="R45" s="152"/>
      <c r="S45" s="152"/>
      <c r="T45" s="153"/>
    </row>
    <row r="46" ht="13.5" customHeight="1">
      <c r="A46" s="165"/>
      <c r="B46" s="166" t="s">
        <v>854</v>
      </c>
      <c r="C46" s="167"/>
      <c r="D46" s="168"/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3"/>
    </row>
    <row r="47" ht="13.5" customHeight="1">
      <c r="A47" s="165"/>
      <c r="B47" s="170"/>
      <c r="C47" s="171"/>
      <c r="D47" s="172"/>
      <c r="E47" s="173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5"/>
    </row>
    <row r="48" ht="13.5" customHeight="1">
      <c r="A48" s="160" t="s">
        <v>865</v>
      </c>
      <c r="B48" s="176" t="s">
        <v>866</v>
      </c>
      <c r="C48" s="177"/>
      <c r="D48" s="178"/>
      <c r="E48" s="179"/>
      <c r="F48" s="180" t="s">
        <v>54</v>
      </c>
      <c r="G48" s="180" t="s">
        <v>55</v>
      </c>
      <c r="H48" s="180" t="s">
        <v>55</v>
      </c>
      <c r="I48" s="180" t="s">
        <v>54</v>
      </c>
      <c r="J48" s="180" t="s">
        <v>54</v>
      </c>
      <c r="K48" s="180" t="s">
        <v>54</v>
      </c>
      <c r="L48" s="180" t="s">
        <v>57</v>
      </c>
      <c r="M48" s="180" t="s">
        <v>55</v>
      </c>
      <c r="N48" s="180" t="s">
        <v>54</v>
      </c>
      <c r="O48" s="180" t="s">
        <v>55</v>
      </c>
      <c r="P48" s="180" t="s">
        <v>55</v>
      </c>
      <c r="Q48" s="180" t="s">
        <v>54</v>
      </c>
      <c r="R48" s="180" t="s">
        <v>54</v>
      </c>
      <c r="S48" s="180"/>
      <c r="T48" s="181"/>
    </row>
    <row r="49" ht="13.5" customHeight="1">
      <c r="A49" s="165"/>
      <c r="B49" s="182" t="s">
        <v>867</v>
      </c>
      <c r="C49" s="27"/>
      <c r="D49" s="25"/>
      <c r="E49" s="183"/>
      <c r="F49" s="184" t="s">
        <v>868</v>
      </c>
      <c r="G49" s="184" t="s">
        <v>868</v>
      </c>
      <c r="H49" s="184" t="s">
        <v>868</v>
      </c>
      <c r="I49" s="184" t="s">
        <v>868</v>
      </c>
      <c r="J49" s="184" t="s">
        <v>868</v>
      </c>
      <c r="K49" s="184" t="s">
        <v>868</v>
      </c>
      <c r="L49" s="184" t="s">
        <v>868</v>
      </c>
      <c r="M49" s="184" t="s">
        <v>868</v>
      </c>
      <c r="N49" s="184" t="s">
        <v>868</v>
      </c>
      <c r="O49" s="184" t="s">
        <v>868</v>
      </c>
      <c r="P49" s="184" t="s">
        <v>868</v>
      </c>
      <c r="Q49" s="184" t="s">
        <v>868</v>
      </c>
      <c r="R49" s="184" t="s">
        <v>868</v>
      </c>
      <c r="S49" s="184"/>
      <c r="T49" s="185"/>
    </row>
    <row r="50" ht="99.75" customHeight="1">
      <c r="A50" s="165"/>
      <c r="B50" s="186" t="s">
        <v>869</v>
      </c>
      <c r="C50" s="27"/>
      <c r="D50" s="25"/>
      <c r="E50" s="169"/>
      <c r="F50" s="187">
        <v>46309.0</v>
      </c>
      <c r="G50" s="187">
        <v>46309.0</v>
      </c>
      <c r="H50" s="187">
        <v>46309.0</v>
      </c>
      <c r="I50" s="187">
        <v>46309.0</v>
      </c>
      <c r="J50" s="187">
        <v>46309.0</v>
      </c>
      <c r="K50" s="187">
        <v>46309.0</v>
      </c>
      <c r="L50" s="187">
        <v>46309.0</v>
      </c>
      <c r="M50" s="187">
        <v>46309.0</v>
      </c>
      <c r="N50" s="187">
        <v>46309.0</v>
      </c>
      <c r="O50" s="187">
        <v>46309.0</v>
      </c>
      <c r="P50" s="187">
        <v>46309.0</v>
      </c>
      <c r="Q50" s="187">
        <v>46309.0</v>
      </c>
      <c r="R50" s="187">
        <v>46309.0</v>
      </c>
      <c r="S50" s="187"/>
      <c r="T50" s="188"/>
    </row>
    <row r="51" ht="72.75" customHeight="1">
      <c r="A51" s="190"/>
      <c r="B51" s="191" t="s">
        <v>870</v>
      </c>
      <c r="C51" s="192"/>
      <c r="D51" s="193"/>
      <c r="E51" s="194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6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8:D48"/>
    <mergeCell ref="B49:D49"/>
    <mergeCell ref="B50:D50"/>
    <mergeCell ref="B51:D51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3" width="3.57"/>
    <col customWidth="1" min="24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ht="13.5" customHeight="1">
      <c r="A2" s="111" t="s">
        <v>707</v>
      </c>
      <c r="B2" s="112"/>
      <c r="C2" s="113" t="s">
        <v>662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559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710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ht="13.5" customHeight="1">
      <c r="A4" s="117" t="s">
        <v>711</v>
      </c>
      <c r="B4" s="27"/>
      <c r="C4" s="122">
        <v>263.0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ht="13.5" customHeight="1">
      <c r="A5" s="117" t="s">
        <v>713</v>
      </c>
      <c r="B5" s="27"/>
      <c r="C5" s="124" t="s">
        <v>2844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  <c r="U6" s="27"/>
      <c r="V6" s="27"/>
      <c r="W6" s="27"/>
    </row>
    <row r="7" ht="13.5" customHeight="1">
      <c r="A7" s="129">
        <f>COUNTIF(F62:W62,"P")</f>
        <v>18</v>
      </c>
      <c r="B7" s="130"/>
      <c r="C7" s="131">
        <f>COUNTIF(F62:W62,"F")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COUNTIF(F61:W61,"N")</f>
        <v>6</v>
      </c>
      <c r="M7" s="132">
        <f>COUNTIF(F61:W61,"A")</f>
        <v>12</v>
      </c>
      <c r="N7" s="132">
        <f>COUNTIF(F61:W61,"B")</f>
        <v>0</v>
      </c>
      <c r="O7" s="133">
        <f>COUNTA(F9:W9)</f>
        <v>18</v>
      </c>
      <c r="P7" s="130"/>
      <c r="Q7" s="130"/>
      <c r="R7" s="130"/>
      <c r="S7" s="130"/>
      <c r="T7" s="130"/>
      <c r="U7" s="130"/>
      <c r="V7" s="130"/>
      <c r="W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 t="s">
        <v>728</v>
      </c>
      <c r="S9" s="139" t="s">
        <v>729</v>
      </c>
      <c r="T9" s="139" t="s">
        <v>730</v>
      </c>
      <c r="U9" s="139" t="s">
        <v>731</v>
      </c>
      <c r="V9" s="139" t="s">
        <v>732</v>
      </c>
      <c r="W9" s="140" t="s">
        <v>733</v>
      </c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7"/>
    </row>
    <row r="11" ht="13.5" customHeight="1">
      <c r="A11" s="148"/>
      <c r="B11" s="149"/>
      <c r="C11" s="150"/>
      <c r="D11" s="151" t="s">
        <v>2864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3"/>
    </row>
    <row r="12" ht="13.5" customHeight="1">
      <c r="A12" s="148"/>
      <c r="B12" s="149"/>
      <c r="C12" s="150"/>
      <c r="D12" s="151" t="s">
        <v>2868</v>
      </c>
      <c r="E12" s="145"/>
      <c r="F12" s="152"/>
      <c r="G12" s="152" t="s">
        <v>742</v>
      </c>
      <c r="H12" s="152" t="s">
        <v>742</v>
      </c>
      <c r="I12" s="152" t="s">
        <v>742</v>
      </c>
      <c r="J12" s="152" t="s">
        <v>742</v>
      </c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3"/>
    </row>
    <row r="13" ht="13.5" customHeight="1">
      <c r="A13" s="148"/>
      <c r="B13" s="149"/>
      <c r="C13" s="150"/>
      <c r="D13" s="151" t="s">
        <v>2870</v>
      </c>
      <c r="E13" s="145"/>
      <c r="F13" s="152"/>
      <c r="G13" s="152"/>
      <c r="H13" s="152"/>
      <c r="I13" s="152"/>
      <c r="J13" s="152"/>
      <c r="K13" s="152" t="s">
        <v>742</v>
      </c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3"/>
    </row>
    <row r="14" ht="13.5" customHeight="1">
      <c r="A14" s="148"/>
      <c r="B14" s="149"/>
      <c r="C14" s="150"/>
      <c r="D14" s="151" t="s">
        <v>2369</v>
      </c>
      <c r="E14" s="145"/>
      <c r="F14" s="152"/>
      <c r="G14" s="152"/>
      <c r="H14" s="152"/>
      <c r="I14" s="152"/>
      <c r="J14" s="152"/>
      <c r="K14" s="152"/>
      <c r="L14" s="152" t="s">
        <v>742</v>
      </c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3"/>
    </row>
    <row r="15" ht="13.5" customHeight="1">
      <c r="A15" s="148"/>
      <c r="B15" s="149"/>
      <c r="C15" s="150"/>
      <c r="D15" s="151" t="s">
        <v>2875</v>
      </c>
      <c r="E15" s="145"/>
      <c r="F15" s="152"/>
      <c r="G15" s="152"/>
      <c r="H15" s="152"/>
      <c r="I15" s="152"/>
      <c r="J15" s="152"/>
      <c r="K15" s="152"/>
      <c r="L15" s="152"/>
      <c r="M15" s="152" t="s">
        <v>742</v>
      </c>
      <c r="N15" s="152"/>
      <c r="O15" s="152"/>
      <c r="P15" s="152"/>
      <c r="Q15" s="152"/>
      <c r="R15" s="152"/>
      <c r="S15" s="152"/>
      <c r="T15" s="152"/>
      <c r="U15" s="152" t="s">
        <v>742</v>
      </c>
      <c r="V15" s="152"/>
      <c r="W15" s="153"/>
    </row>
    <row r="16" ht="13.5" customHeight="1">
      <c r="A16" s="148"/>
      <c r="B16" s="149"/>
      <c r="C16" s="150"/>
      <c r="D16" s="151" t="s">
        <v>2878</v>
      </c>
      <c r="E16" s="145"/>
      <c r="F16" s="152"/>
      <c r="G16" s="152"/>
      <c r="H16" s="152"/>
      <c r="I16" s="152"/>
      <c r="J16" s="152"/>
      <c r="K16" s="152"/>
      <c r="L16" s="152"/>
      <c r="M16" s="152"/>
      <c r="N16" s="152" t="s">
        <v>742</v>
      </c>
      <c r="O16" s="152"/>
      <c r="P16" s="152"/>
      <c r="Q16" s="152"/>
      <c r="R16" s="152"/>
      <c r="S16" s="152"/>
      <c r="T16" s="152" t="s">
        <v>742</v>
      </c>
      <c r="U16" s="152"/>
      <c r="V16" s="152"/>
      <c r="W16" s="153"/>
    </row>
    <row r="17" ht="13.5" customHeight="1">
      <c r="A17" s="148"/>
      <c r="B17" s="149"/>
      <c r="C17" s="150"/>
      <c r="D17" s="151" t="s">
        <v>2882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/>
      <c r="O17" s="152" t="s">
        <v>742</v>
      </c>
      <c r="P17" s="152"/>
      <c r="Q17" s="152"/>
      <c r="R17" s="152"/>
      <c r="S17" s="152"/>
      <c r="T17" s="152"/>
      <c r="U17" s="152"/>
      <c r="V17" s="152"/>
      <c r="W17" s="153"/>
    </row>
    <row r="18" ht="13.5" customHeight="1">
      <c r="A18" s="148"/>
      <c r="B18" s="149"/>
      <c r="C18" s="150"/>
      <c r="D18" s="151" t="s">
        <v>2885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 t="s">
        <v>742</v>
      </c>
      <c r="Q18" s="152"/>
      <c r="R18" s="152"/>
      <c r="S18" s="152"/>
      <c r="T18" s="152"/>
      <c r="U18" s="152"/>
      <c r="V18" s="152"/>
      <c r="W18" s="153"/>
    </row>
    <row r="19" ht="13.5" customHeight="1">
      <c r="A19" s="148"/>
      <c r="B19" s="149"/>
      <c r="C19" s="150"/>
      <c r="D19" s="151" t="s">
        <v>2887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 t="s">
        <v>742</v>
      </c>
      <c r="R19" s="152"/>
      <c r="S19" s="152"/>
      <c r="T19" s="152"/>
      <c r="U19" s="152"/>
      <c r="V19" s="152"/>
      <c r="W19" s="153"/>
    </row>
    <row r="20" ht="13.5" customHeight="1">
      <c r="A20" s="148"/>
      <c r="B20" s="149"/>
      <c r="C20" s="150"/>
      <c r="D20" s="151" t="s">
        <v>2889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 t="s">
        <v>742</v>
      </c>
      <c r="S20" s="152"/>
      <c r="T20" s="152"/>
      <c r="U20" s="152"/>
      <c r="V20" s="152"/>
      <c r="W20" s="153"/>
    </row>
    <row r="21" ht="13.5" customHeight="1">
      <c r="A21" s="148"/>
      <c r="B21" s="149"/>
      <c r="C21" s="150"/>
      <c r="D21" s="151" t="s">
        <v>2892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 t="s">
        <v>742</v>
      </c>
      <c r="T21" s="152"/>
      <c r="U21" s="152"/>
      <c r="V21" s="152"/>
      <c r="W21" s="153"/>
    </row>
    <row r="22" ht="13.5" customHeight="1">
      <c r="A22" s="148"/>
      <c r="B22" s="149"/>
      <c r="C22" s="150"/>
      <c r="D22" s="151" t="s">
        <v>2894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 t="s">
        <v>742</v>
      </c>
      <c r="W22" s="153"/>
    </row>
    <row r="23" ht="13.5" customHeight="1">
      <c r="A23" s="148"/>
      <c r="B23" s="149"/>
      <c r="C23" s="150"/>
      <c r="D23" s="151" t="s">
        <v>2896</v>
      </c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3" t="s">
        <v>742</v>
      </c>
    </row>
    <row r="24" ht="13.5" customHeight="1">
      <c r="A24" s="148"/>
      <c r="B24" s="149" t="s">
        <v>768</v>
      </c>
      <c r="C24" s="150"/>
      <c r="D24" s="151"/>
      <c r="E24" s="145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3"/>
    </row>
    <row r="25" ht="13.5" customHeight="1">
      <c r="A25" s="148"/>
      <c r="B25" s="149"/>
      <c r="C25" s="150"/>
      <c r="D25" s="151" t="s">
        <v>2897</v>
      </c>
      <c r="E25" s="145"/>
      <c r="F25" s="152" t="s">
        <v>742</v>
      </c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3"/>
    </row>
    <row r="26" ht="13.5" customHeight="1">
      <c r="A26" s="148"/>
      <c r="B26" s="149"/>
      <c r="C26" s="150"/>
      <c r="D26" s="151" t="s">
        <v>2898</v>
      </c>
      <c r="E26" s="145"/>
      <c r="F26" s="152"/>
      <c r="G26" s="152" t="s">
        <v>742</v>
      </c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3"/>
    </row>
    <row r="27" ht="13.5" customHeight="1">
      <c r="A27" s="148"/>
      <c r="B27" s="149"/>
      <c r="C27" s="150"/>
      <c r="D27" s="151" t="s">
        <v>2899</v>
      </c>
      <c r="E27" s="145"/>
      <c r="F27" s="152"/>
      <c r="G27" s="152"/>
      <c r="H27" s="152" t="s">
        <v>742</v>
      </c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3"/>
    </row>
    <row r="28" ht="13.5" customHeight="1">
      <c r="A28" s="148"/>
      <c r="B28" s="149"/>
      <c r="C28" s="150"/>
      <c r="D28" s="151" t="s">
        <v>2900</v>
      </c>
      <c r="E28" s="145"/>
      <c r="F28" s="152"/>
      <c r="G28" s="152"/>
      <c r="H28" s="152"/>
      <c r="I28" s="152" t="s">
        <v>742</v>
      </c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3"/>
    </row>
    <row r="29" ht="13.5" customHeight="1">
      <c r="A29" s="148"/>
      <c r="B29" s="149"/>
      <c r="C29" s="150"/>
      <c r="D29" s="151" t="s">
        <v>2901</v>
      </c>
      <c r="E29" s="145"/>
      <c r="F29" s="152"/>
      <c r="G29" s="152"/>
      <c r="H29" s="152"/>
      <c r="I29" s="152"/>
      <c r="J29" s="152" t="s">
        <v>742</v>
      </c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3"/>
    </row>
    <row r="30" ht="13.5" customHeight="1">
      <c r="A30" s="148"/>
      <c r="B30" s="149"/>
      <c r="C30" s="150"/>
      <c r="D30" s="151" t="s">
        <v>2902</v>
      </c>
      <c r="E30" s="145"/>
      <c r="F30" s="152"/>
      <c r="G30" s="152"/>
      <c r="H30" s="152"/>
      <c r="I30" s="152"/>
      <c r="J30" s="152"/>
      <c r="K30" s="152" t="s">
        <v>742</v>
      </c>
      <c r="L30" s="152" t="s">
        <v>742</v>
      </c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3"/>
    </row>
    <row r="31" ht="13.5" customHeight="1">
      <c r="A31" s="148"/>
      <c r="B31" s="149"/>
      <c r="C31" s="150"/>
      <c r="D31" s="151" t="s">
        <v>2903</v>
      </c>
      <c r="E31" s="145"/>
      <c r="F31" s="152"/>
      <c r="G31" s="152"/>
      <c r="H31" s="152"/>
      <c r="I31" s="152"/>
      <c r="J31" s="152"/>
      <c r="K31" s="152"/>
      <c r="L31" s="152"/>
      <c r="M31" s="152" t="s">
        <v>742</v>
      </c>
      <c r="N31" s="152" t="s">
        <v>742</v>
      </c>
      <c r="O31" s="152"/>
      <c r="P31" s="152"/>
      <c r="Q31" s="152"/>
      <c r="R31" s="152"/>
      <c r="S31" s="152"/>
      <c r="T31" s="152"/>
      <c r="U31" s="152"/>
      <c r="V31" s="152"/>
      <c r="W31" s="153"/>
    </row>
    <row r="32" ht="13.5" customHeight="1">
      <c r="A32" s="148"/>
      <c r="B32" s="149"/>
      <c r="C32" s="150"/>
      <c r="D32" s="151" t="s">
        <v>2904</v>
      </c>
      <c r="E32" s="145"/>
      <c r="F32" s="152"/>
      <c r="G32" s="152"/>
      <c r="H32" s="152"/>
      <c r="I32" s="152"/>
      <c r="J32" s="152"/>
      <c r="K32" s="152"/>
      <c r="L32" s="152"/>
      <c r="M32" s="152"/>
      <c r="N32" s="152"/>
      <c r="O32" s="152" t="s">
        <v>742</v>
      </c>
      <c r="P32" s="152"/>
      <c r="Q32" s="152"/>
      <c r="R32" s="152"/>
      <c r="S32" s="152"/>
      <c r="T32" s="152"/>
      <c r="U32" s="152"/>
      <c r="V32" s="152"/>
      <c r="W32" s="153"/>
    </row>
    <row r="33" ht="13.5" customHeight="1">
      <c r="A33" s="148"/>
      <c r="B33" s="149"/>
      <c r="C33" s="150"/>
      <c r="D33" s="151" t="s">
        <v>2905</v>
      </c>
      <c r="E33" s="145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 t="s">
        <v>742</v>
      </c>
      <c r="Q33" s="152" t="s">
        <v>742</v>
      </c>
      <c r="R33" s="152" t="s">
        <v>742</v>
      </c>
      <c r="S33" s="152"/>
      <c r="T33" s="152"/>
      <c r="U33" s="152"/>
      <c r="V33" s="152"/>
      <c r="W33" s="153"/>
    </row>
    <row r="34" ht="13.5" customHeight="1">
      <c r="A34" s="148"/>
      <c r="B34" s="149"/>
      <c r="C34" s="150"/>
      <c r="D34" s="151" t="s">
        <v>2906</v>
      </c>
      <c r="E34" s="145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 t="s">
        <v>742</v>
      </c>
      <c r="T34" s="152"/>
      <c r="U34" s="152"/>
      <c r="V34" s="152"/>
      <c r="W34" s="153"/>
    </row>
    <row r="35" ht="13.5" customHeight="1">
      <c r="A35" s="148"/>
      <c r="B35" s="149"/>
      <c r="C35" s="150"/>
      <c r="D35" s="151" t="s">
        <v>2346</v>
      </c>
      <c r="E35" s="145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 t="s">
        <v>742</v>
      </c>
      <c r="U35" s="152"/>
      <c r="V35" s="152"/>
      <c r="W35" s="153"/>
    </row>
    <row r="36" ht="13.5" customHeight="1">
      <c r="A36" s="148"/>
      <c r="B36" s="149"/>
      <c r="C36" s="150"/>
      <c r="D36" s="151" t="s">
        <v>2907</v>
      </c>
      <c r="E36" s="145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 t="s">
        <v>742</v>
      </c>
      <c r="V36" s="152"/>
      <c r="W36" s="153"/>
    </row>
    <row r="37" ht="13.5" customHeight="1">
      <c r="A37" s="148"/>
      <c r="B37" s="149"/>
      <c r="C37" s="150"/>
      <c r="D37" s="151" t="s">
        <v>2908</v>
      </c>
      <c r="E37" s="14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 t="s">
        <v>742</v>
      </c>
      <c r="W37" s="153" t="s">
        <v>742</v>
      </c>
    </row>
    <row r="38" ht="13.5" customHeight="1">
      <c r="A38" s="148"/>
      <c r="B38" s="154"/>
      <c r="C38" s="155"/>
      <c r="D38" s="156"/>
      <c r="E38" s="157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9"/>
    </row>
    <row r="39" ht="13.5" customHeight="1">
      <c r="A39" s="160" t="s">
        <v>802</v>
      </c>
      <c r="B39" s="161" t="s">
        <v>804</v>
      </c>
      <c r="C39" s="162"/>
      <c r="D39" s="163"/>
      <c r="E39" s="164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7"/>
    </row>
    <row r="40" ht="13.5" customHeight="1">
      <c r="A40" s="165"/>
      <c r="B40" s="166"/>
      <c r="C40" s="167"/>
      <c r="D40" s="168" t="s">
        <v>2909</v>
      </c>
      <c r="E40" s="169"/>
      <c r="F40" s="152" t="s">
        <v>742</v>
      </c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3"/>
    </row>
    <row r="41" ht="13.5" customHeight="1">
      <c r="A41" s="165"/>
      <c r="B41" s="166"/>
      <c r="C41" s="167"/>
      <c r="D41" s="168" t="s">
        <v>2910</v>
      </c>
      <c r="E41" s="169"/>
      <c r="F41" s="152"/>
      <c r="G41" s="152"/>
      <c r="H41" s="152"/>
      <c r="I41" s="152"/>
      <c r="J41" s="152"/>
      <c r="K41" s="152"/>
      <c r="L41" s="152"/>
      <c r="M41" s="152" t="s">
        <v>742</v>
      </c>
      <c r="N41" s="152"/>
      <c r="O41" s="152"/>
      <c r="P41" s="152"/>
      <c r="Q41" s="152"/>
      <c r="R41" s="152"/>
      <c r="S41" s="152"/>
      <c r="T41" s="152"/>
      <c r="U41" s="152"/>
      <c r="V41" s="152"/>
      <c r="W41" s="153"/>
    </row>
    <row r="42" ht="13.5" customHeight="1">
      <c r="A42" s="165"/>
      <c r="B42" s="166"/>
      <c r="C42" s="167"/>
      <c r="D42" s="168" t="s">
        <v>2911</v>
      </c>
      <c r="E42" s="169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 t="s">
        <v>742</v>
      </c>
      <c r="Q42" s="152"/>
      <c r="R42" s="152"/>
      <c r="S42" s="152"/>
      <c r="T42" s="152"/>
      <c r="U42" s="152"/>
      <c r="V42" s="152"/>
      <c r="W42" s="153"/>
    </row>
    <row r="43" ht="13.5" customHeight="1">
      <c r="A43" s="165"/>
      <c r="B43" s="166"/>
      <c r="C43" s="167"/>
      <c r="D43" s="168" t="s">
        <v>2912</v>
      </c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 t="s">
        <v>742</v>
      </c>
      <c r="T43" s="152"/>
      <c r="U43" s="152"/>
      <c r="V43" s="152"/>
      <c r="W43" s="153"/>
    </row>
    <row r="44" ht="13.5" customHeight="1">
      <c r="A44" s="165"/>
      <c r="B44" s="166"/>
      <c r="C44" s="167"/>
      <c r="D44" s="168" t="s">
        <v>2913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 t="s">
        <v>742</v>
      </c>
      <c r="U44" s="152"/>
      <c r="V44" s="152"/>
      <c r="W44" s="153"/>
    </row>
    <row r="45" ht="13.5" customHeight="1">
      <c r="A45" s="165"/>
      <c r="B45" s="166"/>
      <c r="C45" s="167"/>
      <c r="D45" s="168" t="s">
        <v>2914</v>
      </c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 t="s">
        <v>742</v>
      </c>
      <c r="W45" s="153"/>
    </row>
    <row r="46" ht="13.5" customHeight="1">
      <c r="A46" s="165"/>
      <c r="B46" s="166" t="s">
        <v>825</v>
      </c>
      <c r="C46" s="167"/>
      <c r="D46" s="168"/>
      <c r="E46" s="16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3"/>
    </row>
    <row r="47" ht="13.5" customHeight="1">
      <c r="A47" s="165"/>
      <c r="B47" s="166"/>
      <c r="C47" s="167"/>
      <c r="D47" s="168" t="s">
        <v>2915</v>
      </c>
      <c r="E47" s="169"/>
      <c r="F47" s="152"/>
      <c r="G47" s="152" t="s">
        <v>742</v>
      </c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3"/>
    </row>
    <row r="48" ht="13.5" customHeight="1">
      <c r="A48" s="165"/>
      <c r="B48" s="166"/>
      <c r="C48" s="167"/>
      <c r="D48" s="168" t="s">
        <v>2916</v>
      </c>
      <c r="E48" s="169"/>
      <c r="F48" s="152"/>
      <c r="G48" s="152"/>
      <c r="H48" s="152" t="s">
        <v>742</v>
      </c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3"/>
    </row>
    <row r="49" ht="13.5" customHeight="1">
      <c r="A49" s="165"/>
      <c r="B49" s="166"/>
      <c r="C49" s="167"/>
      <c r="D49" s="168" t="s">
        <v>2917</v>
      </c>
      <c r="E49" s="169"/>
      <c r="F49" s="152"/>
      <c r="G49" s="152"/>
      <c r="H49" s="152"/>
      <c r="I49" s="152" t="s">
        <v>742</v>
      </c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3"/>
    </row>
    <row r="50" ht="13.5" customHeight="1">
      <c r="A50" s="165"/>
      <c r="B50" s="166"/>
      <c r="C50" s="167"/>
      <c r="D50" s="168" t="s">
        <v>2918</v>
      </c>
      <c r="E50" s="169"/>
      <c r="F50" s="152"/>
      <c r="G50" s="152"/>
      <c r="H50" s="152"/>
      <c r="I50" s="152"/>
      <c r="J50" s="152" t="s">
        <v>742</v>
      </c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3"/>
    </row>
    <row r="51" ht="13.5" customHeight="1">
      <c r="A51" s="165"/>
      <c r="B51" s="166"/>
      <c r="C51" s="167"/>
      <c r="D51" s="168" t="s">
        <v>2919</v>
      </c>
      <c r="E51" s="169"/>
      <c r="F51" s="152"/>
      <c r="G51" s="152"/>
      <c r="H51" s="152"/>
      <c r="I51" s="152"/>
      <c r="J51" s="152"/>
      <c r="K51" s="152" t="s">
        <v>742</v>
      </c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3"/>
    </row>
    <row r="52" ht="13.5" customHeight="1">
      <c r="A52" s="165"/>
      <c r="B52" s="166"/>
      <c r="C52" s="167"/>
      <c r="D52" s="168" t="s">
        <v>2920</v>
      </c>
      <c r="E52" s="169"/>
      <c r="F52" s="152"/>
      <c r="G52" s="152"/>
      <c r="H52" s="152"/>
      <c r="I52" s="152"/>
      <c r="J52" s="152"/>
      <c r="K52" s="152"/>
      <c r="L52" s="152" t="s">
        <v>742</v>
      </c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3"/>
    </row>
    <row r="53" ht="13.5" customHeight="1">
      <c r="A53" s="165"/>
      <c r="B53" s="166"/>
      <c r="C53" s="167"/>
      <c r="D53" s="168" t="s">
        <v>2921</v>
      </c>
      <c r="E53" s="169"/>
      <c r="F53" s="152"/>
      <c r="G53" s="152"/>
      <c r="H53" s="152"/>
      <c r="I53" s="152"/>
      <c r="J53" s="152"/>
      <c r="K53" s="152"/>
      <c r="L53" s="152"/>
      <c r="M53" s="152"/>
      <c r="N53" s="152" t="s">
        <v>742</v>
      </c>
      <c r="O53" s="152"/>
      <c r="P53" s="152"/>
      <c r="Q53" s="152"/>
      <c r="R53" s="152"/>
      <c r="S53" s="152"/>
      <c r="T53" s="152"/>
      <c r="U53" s="152"/>
      <c r="V53" s="152"/>
      <c r="W53" s="153"/>
    </row>
    <row r="54" ht="13.5" customHeight="1">
      <c r="A54" s="165"/>
      <c r="B54" s="166"/>
      <c r="C54" s="167"/>
      <c r="D54" s="168" t="s">
        <v>2922</v>
      </c>
      <c r="E54" s="169"/>
      <c r="F54" s="152"/>
      <c r="G54" s="152"/>
      <c r="H54" s="152"/>
      <c r="I54" s="152"/>
      <c r="J54" s="152"/>
      <c r="K54" s="152"/>
      <c r="L54" s="152"/>
      <c r="M54" s="152"/>
      <c r="N54" s="152"/>
      <c r="O54" s="152" t="s">
        <v>742</v>
      </c>
      <c r="P54" s="152"/>
      <c r="Q54" s="152"/>
      <c r="R54" s="152"/>
      <c r="S54" s="152"/>
      <c r="T54" s="152"/>
      <c r="U54" s="152"/>
      <c r="V54" s="152"/>
      <c r="W54" s="153"/>
    </row>
    <row r="55" ht="13.5" customHeight="1">
      <c r="A55" s="165"/>
      <c r="B55" s="166"/>
      <c r="C55" s="167"/>
      <c r="D55" s="168" t="s">
        <v>2923</v>
      </c>
      <c r="E55" s="169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 t="s">
        <v>742</v>
      </c>
      <c r="R55" s="152"/>
      <c r="S55" s="152"/>
      <c r="T55" s="152"/>
      <c r="U55" s="152"/>
      <c r="V55" s="152"/>
      <c r="W55" s="153"/>
    </row>
    <row r="56" ht="13.5" customHeight="1">
      <c r="A56" s="165"/>
      <c r="B56" s="166"/>
      <c r="C56" s="167"/>
      <c r="D56" s="168" t="s">
        <v>2924</v>
      </c>
      <c r="E56" s="16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 t="s">
        <v>742</v>
      </c>
      <c r="S56" s="152"/>
      <c r="T56" s="152"/>
      <c r="U56" s="152"/>
      <c r="V56" s="152"/>
      <c r="W56" s="153"/>
    </row>
    <row r="57" ht="13.5" customHeight="1">
      <c r="A57" s="165"/>
      <c r="B57" s="166"/>
      <c r="C57" s="167"/>
      <c r="D57" s="168" t="s">
        <v>2925</v>
      </c>
      <c r="E57" s="169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 t="s">
        <v>742</v>
      </c>
      <c r="V57" s="152"/>
      <c r="W57" s="153"/>
    </row>
    <row r="58" ht="13.5" customHeight="1">
      <c r="A58" s="165"/>
      <c r="B58" s="166"/>
      <c r="C58" s="167"/>
      <c r="D58" s="168" t="s">
        <v>2926</v>
      </c>
      <c r="E58" s="169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3" t="s">
        <v>742</v>
      </c>
    </row>
    <row r="59" ht="13.5" customHeight="1">
      <c r="A59" s="165"/>
      <c r="B59" s="166" t="s">
        <v>854</v>
      </c>
      <c r="C59" s="167"/>
      <c r="D59" s="168"/>
      <c r="E59" s="169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3"/>
    </row>
    <row r="60" ht="13.5" customHeight="1">
      <c r="A60" s="165"/>
      <c r="B60" s="170"/>
      <c r="C60" s="171"/>
      <c r="D60" s="172"/>
      <c r="E60" s="173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5"/>
    </row>
    <row r="61" ht="13.5" customHeight="1">
      <c r="A61" s="160" t="s">
        <v>865</v>
      </c>
      <c r="B61" s="176" t="s">
        <v>866</v>
      </c>
      <c r="C61" s="177"/>
      <c r="D61" s="178"/>
      <c r="E61" s="179"/>
      <c r="F61" s="180" t="s">
        <v>54</v>
      </c>
      <c r="G61" s="180" t="s">
        <v>55</v>
      </c>
      <c r="H61" s="180" t="s">
        <v>55</v>
      </c>
      <c r="I61" s="180" t="s">
        <v>55</v>
      </c>
      <c r="J61" s="180" t="s">
        <v>55</v>
      </c>
      <c r="K61" s="180" t="s">
        <v>55</v>
      </c>
      <c r="L61" s="180" t="s">
        <v>55</v>
      </c>
      <c r="M61" s="180" t="s">
        <v>54</v>
      </c>
      <c r="N61" s="180" t="s">
        <v>55</v>
      </c>
      <c r="O61" s="180" t="s">
        <v>55</v>
      </c>
      <c r="P61" s="180" t="s">
        <v>54</v>
      </c>
      <c r="Q61" s="180" t="s">
        <v>55</v>
      </c>
      <c r="R61" s="180" t="s">
        <v>55</v>
      </c>
      <c r="S61" s="180" t="s">
        <v>54</v>
      </c>
      <c r="T61" s="180" t="s">
        <v>54</v>
      </c>
      <c r="U61" s="180" t="s">
        <v>55</v>
      </c>
      <c r="V61" s="180" t="s">
        <v>54</v>
      </c>
      <c r="W61" s="181" t="s">
        <v>55</v>
      </c>
    </row>
    <row r="62" ht="13.5" customHeight="1">
      <c r="A62" s="165"/>
      <c r="B62" s="182" t="s">
        <v>867</v>
      </c>
      <c r="C62" s="27"/>
      <c r="D62" s="25"/>
      <c r="E62" s="183"/>
      <c r="F62" s="184" t="s">
        <v>868</v>
      </c>
      <c r="G62" s="184" t="s">
        <v>868</v>
      </c>
      <c r="H62" s="184" t="s">
        <v>868</v>
      </c>
      <c r="I62" s="184" t="s">
        <v>868</v>
      </c>
      <c r="J62" s="184" t="s">
        <v>868</v>
      </c>
      <c r="K62" s="184" t="s">
        <v>868</v>
      </c>
      <c r="L62" s="184" t="s">
        <v>868</v>
      </c>
      <c r="M62" s="184" t="s">
        <v>868</v>
      </c>
      <c r="N62" s="184" t="s">
        <v>868</v>
      </c>
      <c r="O62" s="184" t="s">
        <v>868</v>
      </c>
      <c r="P62" s="184" t="s">
        <v>868</v>
      </c>
      <c r="Q62" s="184" t="s">
        <v>868</v>
      </c>
      <c r="R62" s="184" t="s">
        <v>868</v>
      </c>
      <c r="S62" s="184" t="s">
        <v>868</v>
      </c>
      <c r="T62" s="184" t="s">
        <v>868</v>
      </c>
      <c r="U62" s="184" t="s">
        <v>868</v>
      </c>
      <c r="V62" s="184" t="s">
        <v>868</v>
      </c>
      <c r="W62" s="185" t="s">
        <v>868</v>
      </c>
    </row>
    <row r="63" ht="99.75" customHeight="1">
      <c r="A63" s="165"/>
      <c r="B63" s="186" t="s">
        <v>869</v>
      </c>
      <c r="C63" s="27"/>
      <c r="D63" s="25"/>
      <c r="E63" s="169"/>
      <c r="F63" s="187">
        <v>46310.0</v>
      </c>
      <c r="G63" s="187">
        <v>46310.0</v>
      </c>
      <c r="H63" s="187">
        <v>46310.0</v>
      </c>
      <c r="I63" s="187">
        <v>46310.0</v>
      </c>
      <c r="J63" s="187">
        <v>46310.0</v>
      </c>
      <c r="K63" s="187">
        <v>46310.0</v>
      </c>
      <c r="L63" s="187">
        <v>46310.0</v>
      </c>
      <c r="M63" s="187">
        <v>46310.0</v>
      </c>
      <c r="N63" s="187">
        <v>46310.0</v>
      </c>
      <c r="O63" s="187">
        <v>46310.0</v>
      </c>
      <c r="P63" s="187">
        <v>46310.0</v>
      </c>
      <c r="Q63" s="187">
        <v>46310.0</v>
      </c>
      <c r="R63" s="187">
        <v>46310.0</v>
      </c>
      <c r="S63" s="187">
        <v>46310.0</v>
      </c>
      <c r="T63" s="187">
        <v>46310.0</v>
      </c>
      <c r="U63" s="187">
        <v>46310.0</v>
      </c>
      <c r="V63" s="187">
        <v>46310.0</v>
      </c>
      <c r="W63" s="188">
        <v>46310.0</v>
      </c>
    </row>
    <row r="64" ht="72.75" customHeight="1">
      <c r="A64" s="190"/>
      <c r="B64" s="191" t="s">
        <v>870</v>
      </c>
      <c r="C64" s="192"/>
      <c r="D64" s="193"/>
      <c r="E64" s="194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6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L4:W4"/>
    <mergeCell ref="C5:W5"/>
    <mergeCell ref="A2:B2"/>
    <mergeCell ref="C2:E2"/>
    <mergeCell ref="F2:K2"/>
    <mergeCell ref="L2:W2"/>
    <mergeCell ref="C3:E3"/>
    <mergeCell ref="F3:K3"/>
    <mergeCell ref="L3:W3"/>
    <mergeCell ref="F6:K6"/>
    <mergeCell ref="L6:N6"/>
    <mergeCell ref="O6:W6"/>
    <mergeCell ref="A7:B7"/>
    <mergeCell ref="C7:E7"/>
    <mergeCell ref="F7:K7"/>
    <mergeCell ref="O7:W7"/>
    <mergeCell ref="B61:D61"/>
    <mergeCell ref="B62:D62"/>
    <mergeCell ref="B63:D63"/>
    <mergeCell ref="B64:D64"/>
    <mergeCell ref="A3:B3"/>
    <mergeCell ref="A4:B4"/>
    <mergeCell ref="C4:D4"/>
    <mergeCell ref="F4:K4"/>
    <mergeCell ref="A5:B5"/>
    <mergeCell ref="A6:B6"/>
    <mergeCell ref="C6:E6"/>
  </mergeCells>
  <printOptions/>
  <pageMargins bottom="0.75" footer="0.0" header="0.0" left="0.7" right="0.7" top="0.75"/>
  <pageSetup fitToHeight="0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674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567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755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293.0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2927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COUNTIF(F48:T48,"P")</f>
        <v>12</v>
      </c>
      <c r="B7" s="130"/>
      <c r="C7" s="131">
        <f>COUNTIF(F48:T48,"F")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COUNTIF(F47:T47,"N")</f>
        <v>7</v>
      </c>
      <c r="M7" s="132">
        <f>COUNTIF(F47:T47,"A")</f>
        <v>5</v>
      </c>
      <c r="N7" s="132">
        <f>COUNTIF(F47:T47,"B")</f>
        <v>0</v>
      </c>
      <c r="O7" s="133">
        <f>COUNTA(F9:T9)</f>
        <v>12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 t="s">
        <v>727</v>
      </c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2928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2929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2930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2931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2932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2933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2934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2935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2936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3"/>
    </row>
    <row r="20" ht="13.5" customHeight="1">
      <c r="A20" s="148"/>
      <c r="B20" s="149"/>
      <c r="C20" s="150"/>
      <c r="D20" s="151" t="s">
        <v>2937</v>
      </c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 t="s">
        <v>742</v>
      </c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2938</v>
      </c>
      <c r="E21" s="145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 t="s">
        <v>742</v>
      </c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2839</v>
      </c>
      <c r="E22" s="145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 t="s">
        <v>742</v>
      </c>
      <c r="R22" s="152"/>
      <c r="S22" s="152"/>
      <c r="T22" s="153"/>
    </row>
    <row r="23" ht="13.5" customHeight="1">
      <c r="A23" s="148"/>
      <c r="B23" s="149" t="s">
        <v>768</v>
      </c>
      <c r="C23" s="150"/>
      <c r="D23" s="151"/>
      <c r="E23" s="145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2939</v>
      </c>
      <c r="E24" s="145"/>
      <c r="F24" s="152" t="s">
        <v>742</v>
      </c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2940</v>
      </c>
      <c r="E25" s="145"/>
      <c r="F25" s="152"/>
      <c r="G25" s="152" t="s">
        <v>742</v>
      </c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2941</v>
      </c>
      <c r="E26" s="145"/>
      <c r="F26" s="152"/>
      <c r="G26" s="152"/>
      <c r="H26" s="152" t="s">
        <v>742</v>
      </c>
      <c r="I26" s="152" t="s">
        <v>742</v>
      </c>
      <c r="J26" s="152" t="s">
        <v>742</v>
      </c>
      <c r="K26" s="152"/>
      <c r="L26" s="152"/>
      <c r="M26" s="152"/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2942</v>
      </c>
      <c r="E27" s="145"/>
      <c r="F27" s="152"/>
      <c r="G27" s="152"/>
      <c r="H27" s="152"/>
      <c r="I27" s="152"/>
      <c r="J27" s="152"/>
      <c r="K27" s="152" t="s">
        <v>742</v>
      </c>
      <c r="L27" s="152"/>
      <c r="M27" s="152"/>
      <c r="N27" s="152"/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2943</v>
      </c>
      <c r="E28" s="145"/>
      <c r="F28" s="152"/>
      <c r="G28" s="152"/>
      <c r="H28" s="152"/>
      <c r="I28" s="152"/>
      <c r="J28" s="152"/>
      <c r="K28" s="152"/>
      <c r="L28" s="152" t="s">
        <v>742</v>
      </c>
      <c r="M28" s="152"/>
      <c r="N28" s="152"/>
      <c r="O28" s="152"/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2944</v>
      </c>
      <c r="E29" s="145"/>
      <c r="F29" s="152"/>
      <c r="G29" s="152"/>
      <c r="H29" s="152"/>
      <c r="I29" s="152"/>
      <c r="J29" s="152"/>
      <c r="K29" s="152"/>
      <c r="L29" s="152"/>
      <c r="M29" s="152" t="s">
        <v>742</v>
      </c>
      <c r="N29" s="152"/>
      <c r="O29" s="152"/>
      <c r="P29" s="152"/>
      <c r="Q29" s="152"/>
      <c r="R29" s="152"/>
      <c r="S29" s="152"/>
      <c r="T29" s="153"/>
    </row>
    <row r="30" ht="13.5" customHeight="1">
      <c r="A30" s="148"/>
      <c r="B30" s="149"/>
      <c r="C30" s="150"/>
      <c r="D30" s="151" t="s">
        <v>2945</v>
      </c>
      <c r="E30" s="145"/>
      <c r="F30" s="152"/>
      <c r="G30" s="152"/>
      <c r="H30" s="152"/>
      <c r="I30" s="152"/>
      <c r="J30" s="152"/>
      <c r="K30" s="152"/>
      <c r="L30" s="152"/>
      <c r="M30" s="152"/>
      <c r="N30" s="152" t="s">
        <v>742</v>
      </c>
      <c r="O30" s="152" t="s">
        <v>742</v>
      </c>
      <c r="P30" s="152" t="s">
        <v>742</v>
      </c>
      <c r="Q30" s="152" t="s">
        <v>742</v>
      </c>
      <c r="R30" s="152"/>
      <c r="S30" s="152"/>
      <c r="T30" s="153"/>
    </row>
    <row r="31" ht="13.5" customHeight="1">
      <c r="A31" s="148"/>
      <c r="B31" s="154"/>
      <c r="C31" s="155"/>
      <c r="D31" s="156"/>
      <c r="E31" s="157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9"/>
    </row>
    <row r="32" ht="13.5" customHeight="1">
      <c r="A32" s="160" t="s">
        <v>802</v>
      </c>
      <c r="B32" s="161" t="s">
        <v>804</v>
      </c>
      <c r="C32" s="162"/>
      <c r="D32" s="163"/>
      <c r="E32" s="164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7"/>
    </row>
    <row r="33" ht="13.5" customHeight="1">
      <c r="A33" s="165"/>
      <c r="B33" s="166"/>
      <c r="C33" s="167"/>
      <c r="D33" s="168" t="s">
        <v>2948</v>
      </c>
      <c r="E33" s="169"/>
      <c r="F33" s="152" t="s">
        <v>742</v>
      </c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2949</v>
      </c>
      <c r="E34" s="169"/>
      <c r="F34" s="152"/>
      <c r="G34" s="152" t="s">
        <v>742</v>
      </c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2950</v>
      </c>
      <c r="E35" s="169"/>
      <c r="F35" s="152"/>
      <c r="G35" s="152"/>
      <c r="H35" s="152" t="s">
        <v>742</v>
      </c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2951</v>
      </c>
      <c r="E36" s="169"/>
      <c r="F36" s="152"/>
      <c r="G36" s="152"/>
      <c r="H36" s="152"/>
      <c r="I36" s="152"/>
      <c r="J36" s="152"/>
      <c r="K36" s="152"/>
      <c r="L36" s="152" t="s">
        <v>742</v>
      </c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2952</v>
      </c>
      <c r="E37" s="169"/>
      <c r="F37" s="152"/>
      <c r="G37" s="152"/>
      <c r="H37" s="152"/>
      <c r="I37" s="152"/>
      <c r="J37" s="152"/>
      <c r="K37" s="152"/>
      <c r="L37" s="152"/>
      <c r="M37" s="152" t="s">
        <v>742</v>
      </c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2953</v>
      </c>
      <c r="E38" s="169"/>
      <c r="F38" s="152"/>
      <c r="G38" s="152"/>
      <c r="H38" s="152"/>
      <c r="I38" s="152"/>
      <c r="J38" s="152"/>
      <c r="K38" s="152"/>
      <c r="L38" s="152"/>
      <c r="M38" s="152"/>
      <c r="N38" s="152" t="s">
        <v>742</v>
      </c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2954</v>
      </c>
      <c r="E39" s="169"/>
      <c r="F39" s="152"/>
      <c r="G39" s="152"/>
      <c r="H39" s="152"/>
      <c r="I39" s="152"/>
      <c r="J39" s="152"/>
      <c r="K39" s="152"/>
      <c r="L39" s="152"/>
      <c r="M39" s="152"/>
      <c r="N39" s="152"/>
      <c r="O39" s="152" t="s">
        <v>742</v>
      </c>
      <c r="P39" s="152"/>
      <c r="Q39" s="152"/>
      <c r="R39" s="152"/>
      <c r="S39" s="152"/>
      <c r="T39" s="153"/>
    </row>
    <row r="40" ht="13.5" customHeight="1">
      <c r="A40" s="165"/>
      <c r="B40" s="166" t="s">
        <v>825</v>
      </c>
      <c r="C40" s="167"/>
      <c r="D40" s="168"/>
      <c r="E40" s="169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2955</v>
      </c>
      <c r="E41" s="169"/>
      <c r="F41" s="152"/>
      <c r="G41" s="152"/>
      <c r="H41" s="152"/>
      <c r="I41" s="152" t="s">
        <v>742</v>
      </c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2886</v>
      </c>
      <c r="E42" s="169"/>
      <c r="F42" s="152"/>
      <c r="G42" s="152"/>
      <c r="H42" s="152"/>
      <c r="I42" s="152"/>
      <c r="J42" s="152" t="s">
        <v>742</v>
      </c>
      <c r="K42" s="152"/>
      <c r="L42" s="152"/>
      <c r="M42" s="152"/>
      <c r="N42" s="152"/>
      <c r="O42" s="152"/>
      <c r="P42" s="152"/>
      <c r="Q42" s="152" t="s">
        <v>742</v>
      </c>
      <c r="R42" s="152"/>
      <c r="S42" s="152"/>
      <c r="T42" s="153"/>
    </row>
    <row r="43" ht="13.5" customHeight="1">
      <c r="A43" s="165"/>
      <c r="B43" s="166"/>
      <c r="C43" s="167"/>
      <c r="D43" s="168" t="s">
        <v>2956</v>
      </c>
      <c r="E43" s="169"/>
      <c r="F43" s="152"/>
      <c r="G43" s="152"/>
      <c r="H43" s="152"/>
      <c r="I43" s="152"/>
      <c r="J43" s="152"/>
      <c r="K43" s="152" t="s">
        <v>742</v>
      </c>
      <c r="L43" s="152"/>
      <c r="M43" s="152"/>
      <c r="N43" s="152"/>
      <c r="O43" s="152"/>
      <c r="P43" s="152"/>
      <c r="Q43" s="152"/>
      <c r="R43" s="152"/>
      <c r="S43" s="152"/>
      <c r="T43" s="153"/>
    </row>
    <row r="44" ht="13.5" customHeight="1">
      <c r="A44" s="165"/>
      <c r="B44" s="166"/>
      <c r="C44" s="167"/>
      <c r="D44" s="168" t="s">
        <v>2888</v>
      </c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 t="s">
        <v>742</v>
      </c>
      <c r="Q44" s="152"/>
      <c r="R44" s="152"/>
      <c r="S44" s="152"/>
      <c r="T44" s="153"/>
    </row>
    <row r="45" ht="13.5" customHeight="1">
      <c r="A45" s="165"/>
      <c r="B45" s="166" t="s">
        <v>854</v>
      </c>
      <c r="C45" s="167"/>
      <c r="D45" s="168"/>
      <c r="E45" s="169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3"/>
    </row>
    <row r="46" ht="13.5" customHeight="1">
      <c r="A46" s="165"/>
      <c r="B46" s="170"/>
      <c r="C46" s="171"/>
      <c r="D46" s="172"/>
      <c r="E46" s="173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5"/>
    </row>
    <row r="47" ht="13.5" customHeight="1">
      <c r="A47" s="160" t="s">
        <v>865</v>
      </c>
      <c r="B47" s="176" t="s">
        <v>866</v>
      </c>
      <c r="C47" s="177"/>
      <c r="D47" s="178"/>
      <c r="E47" s="179"/>
      <c r="F47" s="180" t="s">
        <v>54</v>
      </c>
      <c r="G47" s="180" t="s">
        <v>54</v>
      </c>
      <c r="H47" s="180" t="s">
        <v>54</v>
      </c>
      <c r="I47" s="180" t="s">
        <v>55</v>
      </c>
      <c r="J47" s="180" t="s">
        <v>55</v>
      </c>
      <c r="K47" s="180" t="s">
        <v>55</v>
      </c>
      <c r="L47" s="180" t="s">
        <v>54</v>
      </c>
      <c r="M47" s="180" t="s">
        <v>54</v>
      </c>
      <c r="N47" s="180" t="s">
        <v>54</v>
      </c>
      <c r="O47" s="180" t="s">
        <v>54</v>
      </c>
      <c r="P47" s="180" t="s">
        <v>55</v>
      </c>
      <c r="Q47" s="180" t="s">
        <v>55</v>
      </c>
      <c r="R47" s="180"/>
      <c r="S47" s="180"/>
      <c r="T47" s="181"/>
    </row>
    <row r="48" ht="13.5" customHeight="1">
      <c r="A48" s="165"/>
      <c r="B48" s="182" t="s">
        <v>867</v>
      </c>
      <c r="C48" s="27"/>
      <c r="D48" s="25"/>
      <c r="E48" s="183"/>
      <c r="F48" s="184" t="s">
        <v>868</v>
      </c>
      <c r="G48" s="184" t="s">
        <v>868</v>
      </c>
      <c r="H48" s="184" t="s">
        <v>868</v>
      </c>
      <c r="I48" s="184" t="s">
        <v>868</v>
      </c>
      <c r="J48" s="184" t="s">
        <v>868</v>
      </c>
      <c r="K48" s="184" t="s">
        <v>868</v>
      </c>
      <c r="L48" s="184" t="s">
        <v>868</v>
      </c>
      <c r="M48" s="184" t="s">
        <v>868</v>
      </c>
      <c r="N48" s="184" t="s">
        <v>868</v>
      </c>
      <c r="O48" s="184" t="s">
        <v>868</v>
      </c>
      <c r="P48" s="184" t="s">
        <v>868</v>
      </c>
      <c r="Q48" s="184" t="s">
        <v>868</v>
      </c>
      <c r="R48" s="184"/>
      <c r="S48" s="184"/>
      <c r="T48" s="185"/>
    </row>
    <row r="49" ht="99.75" customHeight="1">
      <c r="A49" s="165"/>
      <c r="B49" s="186" t="s">
        <v>869</v>
      </c>
      <c r="C49" s="27"/>
      <c r="D49" s="25"/>
      <c r="E49" s="169"/>
      <c r="F49" s="187">
        <v>46309.0</v>
      </c>
      <c r="G49" s="187">
        <v>46309.0</v>
      </c>
      <c r="H49" s="187">
        <v>46309.0</v>
      </c>
      <c r="I49" s="187">
        <v>46309.0</v>
      </c>
      <c r="J49" s="187">
        <v>46309.0</v>
      </c>
      <c r="K49" s="187">
        <v>46309.0</v>
      </c>
      <c r="L49" s="187">
        <v>46309.0</v>
      </c>
      <c r="M49" s="187">
        <v>46309.0</v>
      </c>
      <c r="N49" s="187">
        <v>46309.0</v>
      </c>
      <c r="O49" s="187">
        <v>46309.0</v>
      </c>
      <c r="P49" s="187">
        <v>46309.0</v>
      </c>
      <c r="Q49" s="187">
        <v>46309.0</v>
      </c>
      <c r="R49" s="187"/>
      <c r="S49" s="187"/>
      <c r="T49" s="188"/>
    </row>
    <row r="50" ht="72.75" customHeight="1">
      <c r="A50" s="190"/>
      <c r="B50" s="191" t="s">
        <v>870</v>
      </c>
      <c r="C50" s="192"/>
      <c r="D50" s="193"/>
      <c r="E50" s="194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6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7:D47"/>
    <mergeCell ref="B48:D48"/>
    <mergeCell ref="B49:D49"/>
    <mergeCell ref="B50:D50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687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574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14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315.0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2947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COUNTIF(F47:T47,"P")</f>
        <v>11</v>
      </c>
      <c r="B7" s="130"/>
      <c r="C7" s="131">
        <f>COUNTIF(F47:T47,"F")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COUNTIF(F46:T46,"N")</f>
        <v>6</v>
      </c>
      <c r="M7" s="132">
        <f>COUNTIF(F46:T46,"A")</f>
        <v>5</v>
      </c>
      <c r="N7" s="132">
        <f>COUNTIF(F46:T46,"B")</f>
        <v>0</v>
      </c>
      <c r="O7" s="133">
        <f>COUNTA(F9:T9)</f>
        <v>11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 t="s">
        <v>725</v>
      </c>
      <c r="P9" s="139" t="s">
        <v>726</v>
      </c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2959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2961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2963</v>
      </c>
      <c r="E13" s="145"/>
      <c r="F13" s="152"/>
      <c r="G13" s="152"/>
      <c r="H13" s="152" t="s">
        <v>742</v>
      </c>
      <c r="I13" s="152" t="s">
        <v>742</v>
      </c>
      <c r="J13" s="152" t="s">
        <v>742</v>
      </c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2839</v>
      </c>
      <c r="E14" s="145"/>
      <c r="F14" s="152"/>
      <c r="G14" s="152"/>
      <c r="H14" s="152"/>
      <c r="I14" s="152"/>
      <c r="J14" s="152"/>
      <c r="K14" s="152" t="s">
        <v>742</v>
      </c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2931</v>
      </c>
      <c r="E15" s="145"/>
      <c r="F15" s="152"/>
      <c r="G15" s="152"/>
      <c r="H15" s="152"/>
      <c r="I15" s="152"/>
      <c r="J15" s="152"/>
      <c r="K15" s="152"/>
      <c r="L15" s="152" t="s">
        <v>742</v>
      </c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2967</v>
      </c>
      <c r="E16" s="145"/>
      <c r="F16" s="152"/>
      <c r="G16" s="152"/>
      <c r="H16" s="152"/>
      <c r="I16" s="152"/>
      <c r="J16" s="152"/>
      <c r="K16" s="152"/>
      <c r="L16" s="152"/>
      <c r="M16" s="152" t="s">
        <v>742</v>
      </c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2969</v>
      </c>
      <c r="E17" s="145"/>
      <c r="F17" s="152"/>
      <c r="G17" s="152"/>
      <c r="H17" s="152"/>
      <c r="I17" s="152"/>
      <c r="J17" s="152"/>
      <c r="K17" s="152"/>
      <c r="L17" s="152"/>
      <c r="M17" s="152"/>
      <c r="N17" s="152" t="s">
        <v>742</v>
      </c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2971</v>
      </c>
      <c r="E18" s="145"/>
      <c r="F18" s="152"/>
      <c r="G18" s="152"/>
      <c r="H18" s="152"/>
      <c r="I18" s="152"/>
      <c r="J18" s="152"/>
      <c r="K18" s="152"/>
      <c r="L18" s="152"/>
      <c r="M18" s="152"/>
      <c r="N18" s="152"/>
      <c r="O18" s="152" t="s">
        <v>742</v>
      </c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2933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 t="s">
        <v>742</v>
      </c>
      <c r="Q19" s="152"/>
      <c r="R19" s="152"/>
      <c r="S19" s="152"/>
      <c r="T19" s="153"/>
    </row>
    <row r="20" ht="13.5" customHeight="1">
      <c r="A20" s="148"/>
      <c r="B20" s="149" t="s">
        <v>768</v>
      </c>
      <c r="C20" s="150"/>
      <c r="D20" s="151"/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2974</v>
      </c>
      <c r="E21" s="145"/>
      <c r="F21" s="152" t="s">
        <v>742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2976</v>
      </c>
      <c r="E22" s="145"/>
      <c r="F22" s="152"/>
      <c r="G22" s="152" t="s">
        <v>742</v>
      </c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2978</v>
      </c>
      <c r="E23" s="145"/>
      <c r="F23" s="152"/>
      <c r="G23" s="152"/>
      <c r="H23" s="152" t="s">
        <v>742</v>
      </c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2979</v>
      </c>
      <c r="E24" s="145"/>
      <c r="F24" s="152"/>
      <c r="G24" s="152"/>
      <c r="H24" s="152"/>
      <c r="I24" s="152" t="s">
        <v>742</v>
      </c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2980</v>
      </c>
      <c r="E25" s="145"/>
      <c r="F25" s="152"/>
      <c r="G25" s="152"/>
      <c r="H25" s="152"/>
      <c r="I25" s="152"/>
      <c r="J25" s="152" t="s">
        <v>742</v>
      </c>
      <c r="K25" s="152"/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2981</v>
      </c>
      <c r="E26" s="145"/>
      <c r="F26" s="152"/>
      <c r="G26" s="152"/>
      <c r="H26" s="152"/>
      <c r="I26" s="152"/>
      <c r="J26" s="152"/>
      <c r="K26" s="152" t="s">
        <v>742</v>
      </c>
      <c r="L26" s="152" t="s">
        <v>742</v>
      </c>
      <c r="M26" s="152" t="s">
        <v>742</v>
      </c>
      <c r="N26" s="152"/>
      <c r="O26" s="152"/>
      <c r="P26" s="152"/>
      <c r="Q26" s="152"/>
      <c r="R26" s="152"/>
      <c r="S26" s="152"/>
      <c r="T26" s="153"/>
    </row>
    <row r="27" ht="13.5" customHeight="1">
      <c r="A27" s="148"/>
      <c r="B27" s="149"/>
      <c r="C27" s="150"/>
      <c r="D27" s="151" t="s">
        <v>2982</v>
      </c>
      <c r="E27" s="145"/>
      <c r="F27" s="152"/>
      <c r="G27" s="152"/>
      <c r="H27" s="152"/>
      <c r="I27" s="152"/>
      <c r="J27" s="152"/>
      <c r="K27" s="152"/>
      <c r="L27" s="152"/>
      <c r="M27" s="152"/>
      <c r="N27" s="152" t="s">
        <v>742</v>
      </c>
      <c r="O27" s="152"/>
      <c r="P27" s="152"/>
      <c r="Q27" s="152"/>
      <c r="R27" s="152"/>
      <c r="S27" s="152"/>
      <c r="T27" s="153"/>
    </row>
    <row r="28" ht="13.5" customHeight="1">
      <c r="A28" s="148"/>
      <c r="B28" s="149"/>
      <c r="C28" s="150"/>
      <c r="D28" s="151" t="s">
        <v>2983</v>
      </c>
      <c r="E28" s="145"/>
      <c r="F28" s="152"/>
      <c r="G28" s="152"/>
      <c r="H28" s="152"/>
      <c r="I28" s="152"/>
      <c r="J28" s="152"/>
      <c r="K28" s="152"/>
      <c r="L28" s="152"/>
      <c r="M28" s="152"/>
      <c r="N28" s="152"/>
      <c r="O28" s="152" t="s">
        <v>742</v>
      </c>
      <c r="P28" s="152"/>
      <c r="Q28" s="152"/>
      <c r="R28" s="152"/>
      <c r="S28" s="152"/>
      <c r="T28" s="153"/>
    </row>
    <row r="29" ht="13.5" customHeight="1">
      <c r="A29" s="148"/>
      <c r="B29" s="149"/>
      <c r="C29" s="150"/>
      <c r="D29" s="151" t="s">
        <v>2985</v>
      </c>
      <c r="E29" s="145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 t="s">
        <v>742</v>
      </c>
      <c r="Q29" s="152"/>
      <c r="R29" s="152"/>
      <c r="S29" s="152"/>
      <c r="T29" s="153"/>
    </row>
    <row r="30" ht="13.5" customHeight="1">
      <c r="A30" s="148"/>
      <c r="B30" s="154"/>
      <c r="C30" s="155"/>
      <c r="D30" s="156"/>
      <c r="E30" s="157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9"/>
    </row>
    <row r="31" ht="13.5" customHeight="1">
      <c r="A31" s="160" t="s">
        <v>802</v>
      </c>
      <c r="B31" s="161" t="s">
        <v>804</v>
      </c>
      <c r="C31" s="162"/>
      <c r="D31" s="163"/>
      <c r="E31" s="164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7"/>
    </row>
    <row r="32" ht="13.5" customHeight="1">
      <c r="A32" s="165"/>
      <c r="B32" s="166"/>
      <c r="C32" s="167"/>
      <c r="D32" s="168" t="s">
        <v>2991</v>
      </c>
      <c r="E32" s="169"/>
      <c r="F32" s="152" t="s">
        <v>742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2993</v>
      </c>
      <c r="E33" s="169"/>
      <c r="F33" s="152"/>
      <c r="G33" s="152" t="s">
        <v>742</v>
      </c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2995</v>
      </c>
      <c r="E34" s="169"/>
      <c r="F34" s="152"/>
      <c r="G34" s="152"/>
      <c r="H34" s="152" t="s">
        <v>742</v>
      </c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/>
      <c r="C35" s="167"/>
      <c r="D35" s="168" t="s">
        <v>2997</v>
      </c>
      <c r="E35" s="169"/>
      <c r="F35" s="152"/>
      <c r="G35" s="152"/>
      <c r="H35" s="152"/>
      <c r="I35" s="152"/>
      <c r="J35" s="152"/>
      <c r="K35" s="152"/>
      <c r="L35" s="152"/>
      <c r="M35" s="152" t="s">
        <v>742</v>
      </c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2998</v>
      </c>
      <c r="E36" s="169"/>
      <c r="F36" s="152"/>
      <c r="G36" s="152"/>
      <c r="H36" s="152"/>
      <c r="I36" s="152"/>
      <c r="J36" s="152"/>
      <c r="K36" s="152"/>
      <c r="L36" s="152"/>
      <c r="M36" s="152"/>
      <c r="N36" s="152" t="s">
        <v>742</v>
      </c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2999</v>
      </c>
      <c r="E37" s="169"/>
      <c r="F37" s="152"/>
      <c r="G37" s="152"/>
      <c r="H37" s="152"/>
      <c r="I37" s="152"/>
      <c r="J37" s="152"/>
      <c r="K37" s="152"/>
      <c r="L37" s="152"/>
      <c r="M37" s="152"/>
      <c r="N37" s="152"/>
      <c r="O37" s="152" t="s">
        <v>742</v>
      </c>
      <c r="P37" s="152"/>
      <c r="Q37" s="152"/>
      <c r="R37" s="152"/>
      <c r="S37" s="152"/>
      <c r="T37" s="153"/>
    </row>
    <row r="38" ht="13.5" customHeight="1">
      <c r="A38" s="165"/>
      <c r="B38" s="166" t="s">
        <v>825</v>
      </c>
      <c r="C38" s="167"/>
      <c r="D38" s="168"/>
      <c r="E38" s="169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3"/>
    </row>
    <row r="39" ht="13.5" customHeight="1">
      <c r="A39" s="165"/>
      <c r="B39" s="166"/>
      <c r="C39" s="167"/>
      <c r="D39" s="168" t="s">
        <v>3000</v>
      </c>
      <c r="E39" s="169"/>
      <c r="F39" s="152"/>
      <c r="G39" s="152"/>
      <c r="H39" s="152"/>
      <c r="I39" s="152" t="s">
        <v>742</v>
      </c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66"/>
      <c r="C40" s="167"/>
      <c r="D40" s="168" t="s">
        <v>3001</v>
      </c>
      <c r="E40" s="169"/>
      <c r="F40" s="152"/>
      <c r="G40" s="152"/>
      <c r="H40" s="152"/>
      <c r="I40" s="152"/>
      <c r="J40" s="152" t="s">
        <v>742</v>
      </c>
      <c r="K40" s="152"/>
      <c r="L40" s="152"/>
      <c r="M40" s="152"/>
      <c r="N40" s="152"/>
      <c r="O40" s="152"/>
      <c r="P40" s="152"/>
      <c r="Q40" s="152"/>
      <c r="R40" s="152"/>
      <c r="S40" s="152"/>
      <c r="T40" s="153"/>
    </row>
    <row r="41" ht="13.5" customHeight="1">
      <c r="A41" s="165"/>
      <c r="B41" s="166"/>
      <c r="C41" s="167"/>
      <c r="D41" s="168" t="s">
        <v>3002</v>
      </c>
      <c r="E41" s="169"/>
      <c r="F41" s="152"/>
      <c r="G41" s="152"/>
      <c r="H41" s="152"/>
      <c r="I41" s="152"/>
      <c r="J41" s="152"/>
      <c r="K41" s="152" t="s">
        <v>742</v>
      </c>
      <c r="L41" s="152"/>
      <c r="M41" s="152"/>
      <c r="N41" s="152"/>
      <c r="O41" s="152"/>
      <c r="P41" s="152"/>
      <c r="Q41" s="152"/>
      <c r="R41" s="152"/>
      <c r="S41" s="152"/>
      <c r="T41" s="153"/>
    </row>
    <row r="42" ht="13.5" customHeight="1">
      <c r="A42" s="165"/>
      <c r="B42" s="166"/>
      <c r="C42" s="167"/>
      <c r="D42" s="168" t="s">
        <v>3003</v>
      </c>
      <c r="E42" s="169"/>
      <c r="F42" s="152"/>
      <c r="G42" s="152"/>
      <c r="H42" s="152"/>
      <c r="I42" s="152"/>
      <c r="J42" s="152"/>
      <c r="K42" s="152"/>
      <c r="L42" s="152" t="s">
        <v>742</v>
      </c>
      <c r="M42" s="152"/>
      <c r="N42" s="152"/>
      <c r="O42" s="152"/>
      <c r="P42" s="152"/>
      <c r="Q42" s="152"/>
      <c r="R42" s="152"/>
      <c r="S42" s="152"/>
      <c r="T42" s="153"/>
    </row>
    <row r="43" ht="13.5" customHeight="1">
      <c r="A43" s="165"/>
      <c r="B43" s="166"/>
      <c r="C43" s="167"/>
      <c r="D43" s="168" t="s">
        <v>2956</v>
      </c>
      <c r="E43" s="169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 t="s">
        <v>742</v>
      </c>
      <c r="Q43" s="152"/>
      <c r="R43" s="152"/>
      <c r="S43" s="152"/>
      <c r="T43" s="153"/>
    </row>
    <row r="44" ht="13.5" customHeight="1">
      <c r="A44" s="165"/>
      <c r="B44" s="166" t="s">
        <v>854</v>
      </c>
      <c r="C44" s="167"/>
      <c r="D44" s="168"/>
      <c r="E44" s="16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3"/>
    </row>
    <row r="45" ht="13.5" customHeight="1">
      <c r="A45" s="165"/>
      <c r="B45" s="170"/>
      <c r="C45" s="171"/>
      <c r="D45" s="172"/>
      <c r="E45" s="173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5"/>
    </row>
    <row r="46" ht="13.5" customHeight="1">
      <c r="A46" s="160" t="s">
        <v>865</v>
      </c>
      <c r="B46" s="176" t="s">
        <v>866</v>
      </c>
      <c r="C46" s="177"/>
      <c r="D46" s="178"/>
      <c r="E46" s="179"/>
      <c r="F46" s="180" t="s">
        <v>54</v>
      </c>
      <c r="G46" s="180" t="s">
        <v>54</v>
      </c>
      <c r="H46" s="180" t="s">
        <v>54</v>
      </c>
      <c r="I46" s="180" t="s">
        <v>55</v>
      </c>
      <c r="J46" s="180" t="s">
        <v>55</v>
      </c>
      <c r="K46" s="180" t="s">
        <v>55</v>
      </c>
      <c r="L46" s="180" t="s">
        <v>55</v>
      </c>
      <c r="M46" s="180" t="s">
        <v>54</v>
      </c>
      <c r="N46" s="180" t="s">
        <v>54</v>
      </c>
      <c r="O46" s="180" t="s">
        <v>54</v>
      </c>
      <c r="P46" s="180" t="s">
        <v>55</v>
      </c>
      <c r="Q46" s="180"/>
      <c r="R46" s="180"/>
      <c r="S46" s="180"/>
      <c r="T46" s="181"/>
    </row>
    <row r="47" ht="13.5" customHeight="1">
      <c r="A47" s="165"/>
      <c r="B47" s="182" t="s">
        <v>867</v>
      </c>
      <c r="C47" s="27"/>
      <c r="D47" s="25"/>
      <c r="E47" s="183"/>
      <c r="F47" s="184" t="s">
        <v>868</v>
      </c>
      <c r="G47" s="184" t="s">
        <v>868</v>
      </c>
      <c r="H47" s="184" t="s">
        <v>868</v>
      </c>
      <c r="I47" s="184" t="s">
        <v>868</v>
      </c>
      <c r="J47" s="184" t="s">
        <v>868</v>
      </c>
      <c r="K47" s="184" t="s">
        <v>868</v>
      </c>
      <c r="L47" s="184" t="s">
        <v>868</v>
      </c>
      <c r="M47" s="184" t="s">
        <v>868</v>
      </c>
      <c r="N47" s="184" t="s">
        <v>868</v>
      </c>
      <c r="O47" s="184" t="s">
        <v>868</v>
      </c>
      <c r="P47" s="184" t="s">
        <v>868</v>
      </c>
      <c r="Q47" s="184"/>
      <c r="R47" s="184"/>
      <c r="S47" s="184"/>
      <c r="T47" s="185"/>
    </row>
    <row r="48" ht="99.75" customHeight="1">
      <c r="A48" s="165"/>
      <c r="B48" s="186" t="s">
        <v>869</v>
      </c>
      <c r="C48" s="27"/>
      <c r="D48" s="25"/>
      <c r="E48" s="169"/>
      <c r="F48" s="187">
        <v>46309.0</v>
      </c>
      <c r="G48" s="187">
        <v>46309.0</v>
      </c>
      <c r="H48" s="187">
        <v>46309.0</v>
      </c>
      <c r="I48" s="187">
        <v>46309.0</v>
      </c>
      <c r="J48" s="187">
        <v>46309.0</v>
      </c>
      <c r="K48" s="187">
        <v>46309.0</v>
      </c>
      <c r="L48" s="187">
        <v>46309.0</v>
      </c>
      <c r="M48" s="187">
        <v>46309.0</v>
      </c>
      <c r="N48" s="187">
        <v>46309.0</v>
      </c>
      <c r="O48" s="187">
        <v>46309.0</v>
      </c>
      <c r="P48" s="187">
        <v>46309.0</v>
      </c>
      <c r="Q48" s="187"/>
      <c r="R48" s="187"/>
      <c r="S48" s="187"/>
      <c r="T48" s="188"/>
    </row>
    <row r="49" ht="72.75" customHeight="1">
      <c r="A49" s="190"/>
      <c r="B49" s="191" t="s">
        <v>870</v>
      </c>
      <c r="C49" s="192"/>
      <c r="D49" s="193"/>
      <c r="E49" s="194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6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6:D46"/>
    <mergeCell ref="B47:D47"/>
    <mergeCell ref="B48:D48"/>
    <mergeCell ref="B49:D49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71"/>
    <col customWidth="1" min="4" max="4" width="62.0"/>
    <col customWidth="1" min="5" max="5" width="1.71"/>
    <col customWidth="1" min="6" max="20" width="3.57"/>
    <col customWidth="1" min="21" max="26" width="8.71"/>
  </cols>
  <sheetData>
    <row r="1" ht="13.5" customHeight="1">
      <c r="A1" s="107"/>
      <c r="B1" s="108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ht="13.5" customHeight="1">
      <c r="A2" s="111" t="s">
        <v>707</v>
      </c>
      <c r="B2" s="112"/>
      <c r="C2" s="113" t="s">
        <v>696</v>
      </c>
      <c r="D2" s="112"/>
      <c r="E2" s="112"/>
      <c r="F2" s="114" t="s">
        <v>69</v>
      </c>
      <c r="G2" s="115"/>
      <c r="H2" s="115"/>
      <c r="I2" s="115"/>
      <c r="J2" s="115"/>
      <c r="K2" s="115"/>
      <c r="L2" s="116" t="s">
        <v>583</v>
      </c>
      <c r="M2" s="115"/>
      <c r="N2" s="115"/>
      <c r="O2" s="115"/>
      <c r="P2" s="115"/>
      <c r="Q2" s="115"/>
      <c r="R2" s="115"/>
      <c r="S2" s="115"/>
      <c r="T2" s="115"/>
    </row>
    <row r="3" ht="13.5" customHeight="1">
      <c r="A3" s="117" t="s">
        <v>708</v>
      </c>
      <c r="B3" s="27"/>
      <c r="C3" s="118" t="s">
        <v>14</v>
      </c>
      <c r="D3" s="119"/>
      <c r="E3" s="119"/>
      <c r="F3" s="120" t="s">
        <v>709</v>
      </c>
      <c r="G3" s="27"/>
      <c r="H3" s="27"/>
      <c r="I3" s="27"/>
      <c r="J3" s="27"/>
      <c r="K3" s="27"/>
      <c r="L3" s="121" t="s">
        <v>871</v>
      </c>
      <c r="M3" s="27"/>
      <c r="N3" s="27"/>
      <c r="O3" s="27"/>
      <c r="P3" s="27"/>
      <c r="Q3" s="27"/>
      <c r="R3" s="27"/>
      <c r="S3" s="27"/>
      <c r="T3" s="27"/>
    </row>
    <row r="4" ht="13.5" customHeight="1">
      <c r="A4" s="117" t="s">
        <v>711</v>
      </c>
      <c r="B4" s="27"/>
      <c r="C4" s="122">
        <v>186.0</v>
      </c>
      <c r="D4" s="27"/>
      <c r="E4" s="123"/>
      <c r="F4" s="120" t="s">
        <v>712</v>
      </c>
      <c r="G4" s="27"/>
      <c r="H4" s="27"/>
      <c r="I4" s="27"/>
      <c r="J4" s="27"/>
      <c r="K4" s="27"/>
      <c r="L4" s="121" t="str">
        <f>IF(Functions!E6&lt;&gt;"N/A",SUM(C4*Functions!E6/1000,-O7),"N/A")</f>
        <v>N/A</v>
      </c>
      <c r="M4" s="27"/>
      <c r="N4" s="27"/>
      <c r="O4" s="27"/>
      <c r="P4" s="27"/>
      <c r="Q4" s="27"/>
      <c r="R4" s="27"/>
      <c r="S4" s="27"/>
      <c r="T4" s="27"/>
    </row>
    <row r="5" ht="13.5" customHeight="1">
      <c r="A5" s="117" t="s">
        <v>713</v>
      </c>
      <c r="B5" s="27"/>
      <c r="C5" s="124" t="s">
        <v>2946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5"/>
    </row>
    <row r="6" ht="13.5" customHeight="1">
      <c r="A6" s="126" t="s">
        <v>51</v>
      </c>
      <c r="B6" s="27"/>
      <c r="C6" s="127" t="s">
        <v>52</v>
      </c>
      <c r="D6" s="27"/>
      <c r="E6" s="27"/>
      <c r="F6" s="127" t="s">
        <v>53</v>
      </c>
      <c r="G6" s="27"/>
      <c r="H6" s="27"/>
      <c r="I6" s="27"/>
      <c r="J6" s="27"/>
      <c r="K6" s="27"/>
      <c r="L6" s="128" t="s">
        <v>715</v>
      </c>
      <c r="M6" s="27"/>
      <c r="N6" s="27"/>
      <c r="O6" s="128" t="s">
        <v>58</v>
      </c>
      <c r="P6" s="27"/>
      <c r="Q6" s="27"/>
      <c r="R6" s="27"/>
      <c r="S6" s="27"/>
      <c r="T6" s="27"/>
    </row>
    <row r="7" ht="13.5" customHeight="1">
      <c r="A7" s="129">
        <f>COUNTIF(F42:T42,"P")</f>
        <v>9</v>
      </c>
      <c r="B7" s="130"/>
      <c r="C7" s="131">
        <f>COUNTIF(F42:T42,"F")</f>
        <v>0</v>
      </c>
      <c r="D7" s="130"/>
      <c r="E7" s="130"/>
      <c r="F7" s="131">
        <f>SUM(O7,-A7,-C7)</f>
        <v>0</v>
      </c>
      <c r="G7" s="130"/>
      <c r="H7" s="130"/>
      <c r="I7" s="130"/>
      <c r="J7" s="130"/>
      <c r="K7" s="130"/>
      <c r="L7" s="132">
        <f>COUNTIF(F41:T41,"N")</f>
        <v>5</v>
      </c>
      <c r="M7" s="132">
        <f>COUNTIF(F41:T41,"A")</f>
        <v>3</v>
      </c>
      <c r="N7" s="132">
        <f>COUNTIF(F41:T41,"B")</f>
        <v>1</v>
      </c>
      <c r="O7" s="133">
        <f>COUNTA(F9:T9)</f>
        <v>9</v>
      </c>
      <c r="P7" s="130"/>
      <c r="Q7" s="130"/>
      <c r="R7" s="130"/>
      <c r="S7" s="130"/>
      <c r="T7" s="130"/>
    </row>
    <row r="8" ht="10.5" customHeight="1">
      <c r="A8" s="109"/>
      <c r="B8" s="134"/>
      <c r="C8" s="109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ht="46.5" customHeight="1">
      <c r="A9" s="135"/>
      <c r="B9" s="136"/>
      <c r="C9" s="137"/>
      <c r="D9" s="138"/>
      <c r="E9" s="137"/>
      <c r="F9" s="139" t="s">
        <v>716</v>
      </c>
      <c r="G9" s="139" t="s">
        <v>717</v>
      </c>
      <c r="H9" s="139" t="s">
        <v>718</v>
      </c>
      <c r="I9" s="139" t="s">
        <v>719</v>
      </c>
      <c r="J9" s="139" t="s">
        <v>720</v>
      </c>
      <c r="K9" s="139" t="s">
        <v>721</v>
      </c>
      <c r="L9" s="139" t="s">
        <v>722</v>
      </c>
      <c r="M9" s="139" t="s">
        <v>723</v>
      </c>
      <c r="N9" s="139" t="s">
        <v>724</v>
      </c>
      <c r="O9" s="139"/>
      <c r="P9" s="139"/>
      <c r="Q9" s="139"/>
      <c r="R9" s="139"/>
      <c r="S9" s="139"/>
      <c r="T9" s="140"/>
    </row>
    <row r="10" ht="13.5" customHeight="1">
      <c r="A10" s="141" t="s">
        <v>739</v>
      </c>
      <c r="B10" s="142" t="s">
        <v>740</v>
      </c>
      <c r="C10" s="143"/>
      <c r="D10" s="144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</row>
    <row r="11" ht="13.5" customHeight="1">
      <c r="A11" s="148"/>
      <c r="B11" s="149"/>
      <c r="C11" s="150"/>
      <c r="D11" s="151" t="s">
        <v>2529</v>
      </c>
      <c r="E11" s="145"/>
      <c r="F11" s="152" t="s">
        <v>742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3"/>
    </row>
    <row r="12" ht="13.5" customHeight="1">
      <c r="A12" s="148"/>
      <c r="B12" s="149"/>
      <c r="C12" s="150"/>
      <c r="D12" s="151" t="s">
        <v>2957</v>
      </c>
      <c r="E12" s="145"/>
      <c r="F12" s="152"/>
      <c r="G12" s="152" t="s">
        <v>742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3"/>
    </row>
    <row r="13" ht="13.5" customHeight="1">
      <c r="A13" s="148"/>
      <c r="B13" s="149"/>
      <c r="C13" s="150"/>
      <c r="D13" s="151" t="s">
        <v>2958</v>
      </c>
      <c r="E13" s="145"/>
      <c r="F13" s="152"/>
      <c r="G13" s="152"/>
      <c r="H13" s="152" t="s">
        <v>742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3"/>
    </row>
    <row r="14" ht="13.5" customHeight="1">
      <c r="A14" s="148"/>
      <c r="B14" s="149"/>
      <c r="C14" s="150"/>
      <c r="D14" s="151" t="s">
        <v>2960</v>
      </c>
      <c r="E14" s="145"/>
      <c r="F14" s="152"/>
      <c r="G14" s="152"/>
      <c r="H14" s="152"/>
      <c r="I14" s="152" t="s">
        <v>742</v>
      </c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3"/>
    </row>
    <row r="15" ht="13.5" customHeight="1">
      <c r="A15" s="148"/>
      <c r="B15" s="149"/>
      <c r="C15" s="150"/>
      <c r="D15" s="151" t="s">
        <v>2962</v>
      </c>
      <c r="E15" s="145"/>
      <c r="F15" s="152"/>
      <c r="G15" s="152"/>
      <c r="H15" s="152"/>
      <c r="I15" s="152"/>
      <c r="J15" s="152" t="s">
        <v>742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3"/>
    </row>
    <row r="16" ht="13.5" customHeight="1">
      <c r="A16" s="148"/>
      <c r="B16" s="149"/>
      <c r="C16" s="150"/>
      <c r="D16" s="151" t="s">
        <v>2964</v>
      </c>
      <c r="E16" s="145"/>
      <c r="F16" s="152"/>
      <c r="G16" s="152"/>
      <c r="H16" s="152"/>
      <c r="I16" s="152"/>
      <c r="J16" s="152"/>
      <c r="K16" s="152" t="s">
        <v>742</v>
      </c>
      <c r="L16" s="152"/>
      <c r="M16" s="152"/>
      <c r="N16" s="152"/>
      <c r="O16" s="152"/>
      <c r="P16" s="152"/>
      <c r="Q16" s="152"/>
      <c r="R16" s="152"/>
      <c r="S16" s="152"/>
      <c r="T16" s="153"/>
    </row>
    <row r="17" ht="13.5" customHeight="1">
      <c r="A17" s="148"/>
      <c r="B17" s="149"/>
      <c r="C17" s="150"/>
      <c r="D17" s="151" t="s">
        <v>2965</v>
      </c>
      <c r="E17" s="145"/>
      <c r="F17" s="152"/>
      <c r="G17" s="152"/>
      <c r="H17" s="152"/>
      <c r="I17" s="152"/>
      <c r="J17" s="152"/>
      <c r="K17" s="152"/>
      <c r="L17" s="152" t="s">
        <v>742</v>
      </c>
      <c r="M17" s="152"/>
      <c r="N17" s="152"/>
      <c r="O17" s="152"/>
      <c r="P17" s="152"/>
      <c r="Q17" s="152"/>
      <c r="R17" s="152"/>
      <c r="S17" s="152"/>
      <c r="T17" s="153"/>
    </row>
    <row r="18" ht="13.5" customHeight="1">
      <c r="A18" s="148"/>
      <c r="B18" s="149"/>
      <c r="C18" s="150"/>
      <c r="D18" s="151" t="s">
        <v>2966</v>
      </c>
      <c r="E18" s="145"/>
      <c r="F18" s="152"/>
      <c r="G18" s="152"/>
      <c r="H18" s="152"/>
      <c r="I18" s="152"/>
      <c r="J18" s="152"/>
      <c r="K18" s="152"/>
      <c r="L18" s="152"/>
      <c r="M18" s="152" t="s">
        <v>742</v>
      </c>
      <c r="N18" s="152"/>
      <c r="O18" s="152"/>
      <c r="P18" s="152"/>
      <c r="Q18" s="152"/>
      <c r="R18" s="152"/>
      <c r="S18" s="152"/>
      <c r="T18" s="153"/>
    </row>
    <row r="19" ht="13.5" customHeight="1">
      <c r="A19" s="148"/>
      <c r="B19" s="149"/>
      <c r="C19" s="150"/>
      <c r="D19" s="151" t="s">
        <v>2968</v>
      </c>
      <c r="E19" s="145"/>
      <c r="F19" s="152"/>
      <c r="G19" s="152"/>
      <c r="H19" s="152"/>
      <c r="I19" s="152"/>
      <c r="J19" s="152"/>
      <c r="K19" s="152"/>
      <c r="L19" s="152"/>
      <c r="M19" s="152"/>
      <c r="N19" s="152" t="s">
        <v>742</v>
      </c>
      <c r="O19" s="152"/>
      <c r="P19" s="152"/>
      <c r="Q19" s="152"/>
      <c r="R19" s="152"/>
      <c r="S19" s="152"/>
      <c r="T19" s="153"/>
    </row>
    <row r="20" ht="13.5" customHeight="1">
      <c r="A20" s="148"/>
      <c r="B20" s="149" t="s">
        <v>768</v>
      </c>
      <c r="C20" s="150"/>
      <c r="D20" s="151"/>
      <c r="E20" s="145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3"/>
    </row>
    <row r="21" ht="13.5" customHeight="1">
      <c r="A21" s="148"/>
      <c r="B21" s="149"/>
      <c r="C21" s="150"/>
      <c r="D21" s="151" t="s">
        <v>2970</v>
      </c>
      <c r="E21" s="145"/>
      <c r="F21" s="152" t="s">
        <v>742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3"/>
    </row>
    <row r="22" ht="13.5" customHeight="1">
      <c r="A22" s="148"/>
      <c r="B22" s="149"/>
      <c r="C22" s="150"/>
      <c r="D22" s="151" t="s">
        <v>2972</v>
      </c>
      <c r="E22" s="145"/>
      <c r="F22" s="152"/>
      <c r="G22" s="152" t="s">
        <v>742</v>
      </c>
      <c r="H22" s="152" t="s">
        <v>742</v>
      </c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3"/>
    </row>
    <row r="23" ht="13.5" customHeight="1">
      <c r="A23" s="148"/>
      <c r="B23" s="149"/>
      <c r="C23" s="150"/>
      <c r="D23" s="151" t="s">
        <v>701</v>
      </c>
      <c r="E23" s="145"/>
      <c r="F23" s="152"/>
      <c r="G23" s="152"/>
      <c r="H23" s="152"/>
      <c r="I23" s="152" t="s">
        <v>742</v>
      </c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3"/>
    </row>
    <row r="24" ht="13.5" customHeight="1">
      <c r="A24" s="148"/>
      <c r="B24" s="149"/>
      <c r="C24" s="150"/>
      <c r="D24" s="151" t="s">
        <v>2973</v>
      </c>
      <c r="E24" s="145"/>
      <c r="F24" s="152"/>
      <c r="G24" s="152"/>
      <c r="H24" s="152"/>
      <c r="I24" s="152"/>
      <c r="J24" s="152" t="s">
        <v>742</v>
      </c>
      <c r="K24" s="152"/>
      <c r="L24" s="152"/>
      <c r="M24" s="152"/>
      <c r="N24" s="152"/>
      <c r="O24" s="152"/>
      <c r="P24" s="152"/>
      <c r="Q24" s="152"/>
      <c r="R24" s="152"/>
      <c r="S24" s="152"/>
      <c r="T24" s="153"/>
    </row>
    <row r="25" ht="13.5" customHeight="1">
      <c r="A25" s="148"/>
      <c r="B25" s="149"/>
      <c r="C25" s="150"/>
      <c r="D25" s="151" t="s">
        <v>2975</v>
      </c>
      <c r="E25" s="145"/>
      <c r="F25" s="152"/>
      <c r="G25" s="152"/>
      <c r="H25" s="152"/>
      <c r="I25" s="152"/>
      <c r="J25" s="152"/>
      <c r="K25" s="152" t="s">
        <v>742</v>
      </c>
      <c r="L25" s="152"/>
      <c r="M25" s="152"/>
      <c r="N25" s="152"/>
      <c r="O25" s="152"/>
      <c r="P25" s="152"/>
      <c r="Q25" s="152"/>
      <c r="R25" s="152"/>
      <c r="S25" s="152"/>
      <c r="T25" s="153"/>
    </row>
    <row r="26" ht="13.5" customHeight="1">
      <c r="A26" s="148"/>
      <c r="B26" s="149"/>
      <c r="C26" s="150"/>
      <c r="D26" s="151" t="s">
        <v>2977</v>
      </c>
      <c r="E26" s="145"/>
      <c r="F26" s="152"/>
      <c r="G26" s="152"/>
      <c r="H26" s="152"/>
      <c r="I26" s="152"/>
      <c r="J26" s="152"/>
      <c r="K26" s="152"/>
      <c r="L26" s="152" t="s">
        <v>742</v>
      </c>
      <c r="M26" s="152" t="s">
        <v>742</v>
      </c>
      <c r="N26" s="152" t="s">
        <v>742</v>
      </c>
      <c r="O26" s="152"/>
      <c r="P26" s="152"/>
      <c r="Q26" s="152"/>
      <c r="R26" s="152"/>
      <c r="S26" s="152"/>
      <c r="T26" s="153"/>
    </row>
    <row r="27" ht="13.5" customHeight="1">
      <c r="A27" s="148"/>
      <c r="B27" s="154"/>
      <c r="C27" s="155"/>
      <c r="D27" s="156"/>
      <c r="E27" s="157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9"/>
    </row>
    <row r="28" ht="13.5" customHeight="1">
      <c r="A28" s="160" t="s">
        <v>802</v>
      </c>
      <c r="B28" s="161" t="s">
        <v>804</v>
      </c>
      <c r="C28" s="162"/>
      <c r="D28" s="163"/>
      <c r="E28" s="164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7"/>
    </row>
    <row r="29" ht="13.5" customHeight="1">
      <c r="A29" s="165"/>
      <c r="B29" s="166"/>
      <c r="C29" s="167"/>
      <c r="D29" s="168" t="s">
        <v>2984</v>
      </c>
      <c r="E29" s="169"/>
      <c r="F29" s="152" t="s">
        <v>742</v>
      </c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3"/>
    </row>
    <row r="30" ht="13.5" customHeight="1">
      <c r="A30" s="165"/>
      <c r="B30" s="166"/>
      <c r="C30" s="167"/>
      <c r="D30" s="168" t="s">
        <v>2986</v>
      </c>
      <c r="E30" s="169"/>
      <c r="F30" s="152"/>
      <c r="G30" s="152" t="s">
        <v>742</v>
      </c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3"/>
    </row>
    <row r="31" ht="13.5" customHeight="1">
      <c r="A31" s="165"/>
      <c r="B31" s="166"/>
      <c r="C31" s="167"/>
      <c r="D31" s="168" t="s">
        <v>2987</v>
      </c>
      <c r="E31" s="169"/>
      <c r="F31" s="152"/>
      <c r="G31" s="152"/>
      <c r="H31" s="152"/>
      <c r="I31" s="152" t="s">
        <v>742</v>
      </c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3"/>
    </row>
    <row r="32" ht="13.5" customHeight="1">
      <c r="A32" s="165"/>
      <c r="B32" s="166"/>
      <c r="C32" s="167"/>
      <c r="D32" s="168" t="s">
        <v>2988</v>
      </c>
      <c r="E32" s="169"/>
      <c r="F32" s="152"/>
      <c r="G32" s="152"/>
      <c r="H32" s="152"/>
      <c r="I32" s="152"/>
      <c r="J32" s="152" t="s">
        <v>742</v>
      </c>
      <c r="K32" s="152"/>
      <c r="L32" s="152"/>
      <c r="M32" s="152"/>
      <c r="N32" s="152"/>
      <c r="O32" s="152"/>
      <c r="P32" s="152"/>
      <c r="Q32" s="152"/>
      <c r="R32" s="152"/>
      <c r="S32" s="152"/>
      <c r="T32" s="153"/>
    </row>
    <row r="33" ht="13.5" customHeight="1">
      <c r="A33" s="165"/>
      <c r="B33" s="166"/>
      <c r="C33" s="167"/>
      <c r="D33" s="168" t="s">
        <v>2989</v>
      </c>
      <c r="E33" s="169"/>
      <c r="F33" s="152"/>
      <c r="G33" s="152"/>
      <c r="H33" s="152"/>
      <c r="I33" s="152"/>
      <c r="J33" s="152"/>
      <c r="K33" s="152"/>
      <c r="L33" s="152" t="s">
        <v>742</v>
      </c>
      <c r="M33" s="152"/>
      <c r="N33" s="152"/>
      <c r="O33" s="152"/>
      <c r="P33" s="152"/>
      <c r="Q33" s="152"/>
      <c r="R33" s="152"/>
      <c r="S33" s="152"/>
      <c r="T33" s="153"/>
    </row>
    <row r="34" ht="13.5" customHeight="1">
      <c r="A34" s="165"/>
      <c r="B34" s="166"/>
      <c r="C34" s="167"/>
      <c r="D34" s="168" t="s">
        <v>2990</v>
      </c>
      <c r="E34" s="169"/>
      <c r="F34" s="152"/>
      <c r="G34" s="152"/>
      <c r="H34" s="152"/>
      <c r="I34" s="152"/>
      <c r="J34" s="152"/>
      <c r="K34" s="152"/>
      <c r="L34" s="152"/>
      <c r="M34" s="152" t="s">
        <v>742</v>
      </c>
      <c r="N34" s="152"/>
      <c r="O34" s="152"/>
      <c r="P34" s="152"/>
      <c r="Q34" s="152"/>
      <c r="R34" s="152"/>
      <c r="S34" s="152"/>
      <c r="T34" s="153"/>
    </row>
    <row r="35" ht="13.5" customHeight="1">
      <c r="A35" s="165"/>
      <c r="B35" s="166" t="s">
        <v>825</v>
      </c>
      <c r="C35" s="167"/>
      <c r="D35" s="168"/>
      <c r="E35" s="169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/>
    </row>
    <row r="36" ht="13.5" customHeight="1">
      <c r="A36" s="165"/>
      <c r="B36" s="166"/>
      <c r="C36" s="167"/>
      <c r="D36" s="168" t="s">
        <v>2992</v>
      </c>
      <c r="E36" s="169"/>
      <c r="F36" s="152"/>
      <c r="G36" s="152"/>
      <c r="H36" s="152" t="s">
        <v>742</v>
      </c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3"/>
    </row>
    <row r="37" ht="13.5" customHeight="1">
      <c r="A37" s="165"/>
      <c r="B37" s="166"/>
      <c r="C37" s="167"/>
      <c r="D37" s="168" t="s">
        <v>2994</v>
      </c>
      <c r="E37" s="169"/>
      <c r="F37" s="152"/>
      <c r="G37" s="152"/>
      <c r="H37" s="152"/>
      <c r="I37" s="152"/>
      <c r="J37" s="152"/>
      <c r="K37" s="152" t="s">
        <v>742</v>
      </c>
      <c r="L37" s="152"/>
      <c r="M37" s="152"/>
      <c r="N37" s="152"/>
      <c r="O37" s="152"/>
      <c r="P37" s="152"/>
      <c r="Q37" s="152"/>
      <c r="R37" s="152"/>
      <c r="S37" s="152"/>
      <c r="T37" s="153"/>
    </row>
    <row r="38" ht="13.5" customHeight="1">
      <c r="A38" s="165"/>
      <c r="B38" s="166"/>
      <c r="C38" s="167"/>
      <c r="D38" s="168" t="s">
        <v>2996</v>
      </c>
      <c r="E38" s="169"/>
      <c r="F38" s="152"/>
      <c r="G38" s="152"/>
      <c r="H38" s="152"/>
      <c r="I38" s="152"/>
      <c r="J38" s="152"/>
      <c r="K38" s="152"/>
      <c r="L38" s="152"/>
      <c r="M38" s="152"/>
      <c r="N38" s="152" t="s">
        <v>742</v>
      </c>
      <c r="O38" s="152"/>
      <c r="P38" s="152"/>
      <c r="Q38" s="152"/>
      <c r="R38" s="152"/>
      <c r="S38" s="152"/>
      <c r="T38" s="153"/>
    </row>
    <row r="39" ht="13.5" customHeight="1">
      <c r="A39" s="165"/>
      <c r="B39" s="166" t="s">
        <v>854</v>
      </c>
      <c r="C39" s="167"/>
      <c r="D39" s="168"/>
      <c r="E39" s="169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3"/>
    </row>
    <row r="40" ht="13.5" customHeight="1">
      <c r="A40" s="165"/>
      <c r="B40" s="170"/>
      <c r="C40" s="171"/>
      <c r="D40" s="172"/>
      <c r="E40" s="173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5"/>
    </row>
    <row r="41" ht="13.5" customHeight="1">
      <c r="A41" s="160" t="s">
        <v>865</v>
      </c>
      <c r="B41" s="176" t="s">
        <v>866</v>
      </c>
      <c r="C41" s="177"/>
      <c r="D41" s="178"/>
      <c r="E41" s="179"/>
      <c r="F41" s="180" t="s">
        <v>54</v>
      </c>
      <c r="G41" s="180" t="s">
        <v>54</v>
      </c>
      <c r="H41" s="180" t="s">
        <v>55</v>
      </c>
      <c r="I41" s="180" t="s">
        <v>54</v>
      </c>
      <c r="J41" s="180" t="s">
        <v>54</v>
      </c>
      <c r="K41" s="180" t="s">
        <v>55</v>
      </c>
      <c r="L41" s="180" t="s">
        <v>54</v>
      </c>
      <c r="M41" s="180" t="s">
        <v>57</v>
      </c>
      <c r="N41" s="180" t="s">
        <v>55</v>
      </c>
      <c r="O41" s="180"/>
      <c r="P41" s="180"/>
      <c r="Q41" s="180"/>
      <c r="R41" s="180"/>
      <c r="S41" s="180"/>
      <c r="T41" s="181"/>
    </row>
    <row r="42" ht="13.5" customHeight="1">
      <c r="A42" s="165"/>
      <c r="B42" s="182" t="s">
        <v>867</v>
      </c>
      <c r="C42" s="27"/>
      <c r="D42" s="25"/>
      <c r="E42" s="183"/>
      <c r="F42" s="184" t="s">
        <v>868</v>
      </c>
      <c r="G42" s="184" t="s">
        <v>868</v>
      </c>
      <c r="H42" s="184" t="s">
        <v>868</v>
      </c>
      <c r="I42" s="184" t="s">
        <v>868</v>
      </c>
      <c r="J42" s="184" t="s">
        <v>868</v>
      </c>
      <c r="K42" s="184" t="s">
        <v>868</v>
      </c>
      <c r="L42" s="184" t="s">
        <v>868</v>
      </c>
      <c r="M42" s="184" t="s">
        <v>868</v>
      </c>
      <c r="N42" s="184" t="s">
        <v>868</v>
      </c>
      <c r="O42" s="184"/>
      <c r="P42" s="184"/>
      <c r="Q42" s="184"/>
      <c r="R42" s="184"/>
      <c r="S42" s="184"/>
      <c r="T42" s="185"/>
    </row>
    <row r="43" ht="99.75" customHeight="1">
      <c r="A43" s="165"/>
      <c r="B43" s="186" t="s">
        <v>869</v>
      </c>
      <c r="C43" s="27"/>
      <c r="D43" s="25"/>
      <c r="E43" s="169"/>
      <c r="F43" s="187">
        <v>46310.0</v>
      </c>
      <c r="G43" s="187">
        <v>46310.0</v>
      </c>
      <c r="H43" s="187">
        <v>46310.0</v>
      </c>
      <c r="I43" s="187">
        <v>46310.0</v>
      </c>
      <c r="J43" s="187">
        <v>46310.0</v>
      </c>
      <c r="K43" s="187">
        <v>46310.0</v>
      </c>
      <c r="L43" s="187">
        <v>46310.0</v>
      </c>
      <c r="M43" s="187">
        <v>46310.0</v>
      </c>
      <c r="N43" s="187">
        <v>46310.0</v>
      </c>
      <c r="O43" s="187"/>
      <c r="P43" s="187"/>
      <c r="Q43" s="187"/>
      <c r="R43" s="187"/>
      <c r="S43" s="187"/>
      <c r="T43" s="188"/>
    </row>
    <row r="44" ht="72.75" customHeight="1">
      <c r="A44" s="190"/>
      <c r="B44" s="191" t="s">
        <v>870</v>
      </c>
      <c r="C44" s="192"/>
      <c r="D44" s="193"/>
      <c r="E44" s="194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6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:B2"/>
    <mergeCell ref="C2:E2"/>
    <mergeCell ref="F2:K2"/>
    <mergeCell ref="L2:T2"/>
    <mergeCell ref="C3:E3"/>
    <mergeCell ref="F3:K3"/>
    <mergeCell ref="L3:T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1:D41"/>
    <mergeCell ref="B42:D42"/>
    <mergeCell ref="B43:D43"/>
    <mergeCell ref="B44:D44"/>
    <mergeCell ref="A6:B6"/>
    <mergeCell ref="C6:E6"/>
    <mergeCell ref="F6:K6"/>
    <mergeCell ref="L6:N6"/>
    <mergeCell ref="A7:B7"/>
    <mergeCell ref="C7:E7"/>
    <mergeCell ref="F7:K7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2026-10-12T12:21:48Z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1b437e76-e855-4c36-b8ff-fe6959b486f2</vt:lpwstr>
  </property>
  <property fmtid="{D5CDD505-2E9C-101B-9397-08002B2CF9AE}" pid="7" name="MSIP_Label_defa4170-0d19-0005-0004-bc88714345d2_ActionId">
    <vt:lpwstr>48011ad2-d4c6-44b9-9502-4265d84f332f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